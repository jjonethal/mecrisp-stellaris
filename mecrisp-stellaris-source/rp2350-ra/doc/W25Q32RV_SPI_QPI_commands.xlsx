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j\rp2350-rppico2\mecrisp-stellaris\mecrisp-stellaris-source\rp2350-ra\doc\"/>
    </mc:Choice>
  </mc:AlternateContent>
  <xr:revisionPtr revIDLastSave="0" documentId="13_ncr:1_{96008EBF-3554-41D1-B937-50EA01F6FB40}" xr6:coauthVersionLast="47" xr6:coauthVersionMax="47" xr10:uidLastSave="{00000000-0000-0000-0000-000000000000}"/>
  <bookViews>
    <workbookView xWindow="-120" yWindow="-120" windowWidth="29040" windowHeight="15720" firstSheet="1" activeTab="1" xr2:uid="{7CB3D823-3DF4-41F8-85C4-10B12B3F4EDA}"/>
  </bookViews>
  <sheets>
    <sheet name="Tabelle1" sheetId="1" state="hidden" r:id="rId1"/>
    <sheet name="CommandOverview" sheetId="2" r:id="rId2"/>
    <sheet name="SPI-Instruction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1" i="2" l="1"/>
  <c r="L80" i="2"/>
  <c r="L79" i="2"/>
  <c r="L76" i="2"/>
  <c r="L75" i="2"/>
  <c r="L74" i="2"/>
  <c r="L73" i="2"/>
  <c r="L72" i="2"/>
  <c r="L71" i="2"/>
  <c r="L70" i="2"/>
  <c r="L69" i="2"/>
  <c r="L68" i="2"/>
  <c r="L67" i="2"/>
  <c r="L65" i="2"/>
  <c r="L64" i="2"/>
  <c r="L63" i="2"/>
  <c r="L62" i="2"/>
  <c r="L61" i="2"/>
  <c r="L60" i="2"/>
  <c r="L59" i="2"/>
  <c r="L58" i="2"/>
  <c r="L57" i="2"/>
  <c r="L56" i="2"/>
  <c r="L55" i="2"/>
  <c r="L50" i="2"/>
  <c r="L49" i="2"/>
  <c r="L48" i="2"/>
  <c r="L46" i="2"/>
  <c r="L45" i="2"/>
  <c r="L43" i="2"/>
  <c r="L42" i="2"/>
  <c r="L40" i="2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4" i="3"/>
</calcChain>
</file>

<file path=xl/sharedStrings.xml><?xml version="1.0" encoding="utf-8"?>
<sst xmlns="http://schemas.openxmlformats.org/spreadsheetml/2006/main" count="833" uniqueCount="218">
  <si>
    <r>
      <t>Data Input Output</t>
    </r>
    <r>
      <rPr>
        <sz val="7"/>
        <color rgb="FF000000"/>
        <rFont val="Times New Roman"/>
        <family val="1"/>
      </rPr>
      <t xml:space="preserve"> </t>
    </r>
  </si>
  <si>
    <r>
      <t>Byte 1</t>
    </r>
    <r>
      <rPr>
        <sz val="7"/>
        <color rgb="FF000000"/>
        <rFont val="Times New Roman"/>
        <family val="1"/>
      </rPr>
      <t xml:space="preserve"> </t>
    </r>
  </si>
  <si>
    <r>
      <t>Byte 2</t>
    </r>
    <r>
      <rPr>
        <sz val="7"/>
        <color rgb="FF000000"/>
        <rFont val="Times New Roman"/>
        <family val="1"/>
      </rPr>
      <t xml:space="preserve"> </t>
    </r>
  </si>
  <si>
    <r>
      <t>Byte 3</t>
    </r>
    <r>
      <rPr>
        <sz val="7"/>
        <color rgb="FF000000"/>
        <rFont val="Times New Roman"/>
        <family val="1"/>
      </rPr>
      <t xml:space="preserve"> </t>
    </r>
  </si>
  <si>
    <r>
      <t>Byte 4</t>
    </r>
    <r>
      <rPr>
        <sz val="7"/>
        <color rgb="FF000000"/>
        <rFont val="Times New Roman"/>
        <family val="1"/>
      </rPr>
      <t xml:space="preserve"> </t>
    </r>
  </si>
  <si>
    <r>
      <t>Byte 5</t>
    </r>
    <r>
      <rPr>
        <sz val="7"/>
        <color rgb="FF000000"/>
        <rFont val="Times New Roman"/>
        <family val="1"/>
      </rPr>
      <t xml:space="preserve"> </t>
    </r>
  </si>
  <si>
    <r>
      <t>Byte 6</t>
    </r>
    <r>
      <rPr>
        <sz val="7"/>
        <color rgb="FF000000"/>
        <rFont val="Times New Roman"/>
        <family val="1"/>
      </rPr>
      <t xml:space="preserve"> </t>
    </r>
  </si>
  <si>
    <r>
      <t>Byte 7</t>
    </r>
    <r>
      <rPr>
        <sz val="7"/>
        <color rgb="FF000000"/>
        <rFont val="Times New Roman"/>
        <family val="1"/>
      </rPr>
      <t xml:space="preserve"> </t>
    </r>
  </si>
  <si>
    <r>
      <t>Number of Clock</t>
    </r>
    <r>
      <rPr>
        <b/>
        <sz val="4.5"/>
        <color rgb="FF000000"/>
        <rFont val="Arial"/>
        <family val="2"/>
      </rPr>
      <t>(1-1-1)</t>
    </r>
    <r>
      <rPr>
        <sz val="4.5"/>
        <color rgb="FF000000"/>
        <rFont val="Times New Roman"/>
        <family val="1"/>
      </rPr>
      <t xml:space="preserve"> </t>
    </r>
  </si>
  <si>
    <r>
      <t>Write Enable</t>
    </r>
    <r>
      <rPr>
        <sz val="7"/>
        <color theme="1"/>
        <rFont val="Times New Roman"/>
        <family val="1"/>
      </rPr>
      <t xml:space="preserve"> </t>
    </r>
  </si>
  <si>
    <r>
      <t>06h</t>
    </r>
    <r>
      <rPr>
        <sz val="7"/>
        <color theme="1"/>
        <rFont val="Times New Roman"/>
        <family val="1"/>
      </rPr>
      <t xml:space="preserve"> </t>
    </r>
  </si>
  <si>
    <r>
      <t>Volatile SR Write Enable</t>
    </r>
    <r>
      <rPr>
        <sz val="7"/>
        <color theme="1"/>
        <rFont val="Times New Roman"/>
        <family val="1"/>
      </rPr>
      <t xml:space="preserve"> </t>
    </r>
  </si>
  <si>
    <r>
      <t>50h</t>
    </r>
    <r>
      <rPr>
        <sz val="7"/>
        <color theme="1"/>
        <rFont val="Times New Roman"/>
        <family val="1"/>
      </rPr>
      <t xml:space="preserve"> </t>
    </r>
  </si>
  <si>
    <r>
      <t>Write Disable</t>
    </r>
    <r>
      <rPr>
        <sz val="7"/>
        <color theme="1"/>
        <rFont val="Times New Roman"/>
        <family val="1"/>
      </rPr>
      <t xml:space="preserve"> </t>
    </r>
  </si>
  <si>
    <r>
      <t>04h</t>
    </r>
    <r>
      <rPr>
        <sz val="7"/>
        <color theme="1"/>
        <rFont val="Times New Roman"/>
        <family val="1"/>
      </rPr>
      <t xml:space="preserve"> </t>
    </r>
  </si>
  <si>
    <r>
      <t>Release Power-down / ID</t>
    </r>
    <r>
      <rPr>
        <sz val="7"/>
        <color theme="1"/>
        <rFont val="Times New Roman"/>
        <family val="1"/>
      </rPr>
      <t xml:space="preserve"> </t>
    </r>
  </si>
  <si>
    <r>
      <t>ABh</t>
    </r>
    <r>
      <rPr>
        <sz val="7"/>
        <color theme="1"/>
        <rFont val="Times New Roman"/>
        <family val="1"/>
      </rPr>
      <t xml:space="preserve"> </t>
    </r>
  </si>
  <si>
    <r>
      <t>Dummy</t>
    </r>
    <r>
      <rPr>
        <sz val="7"/>
        <color theme="1"/>
        <rFont val="Times New Roman"/>
        <family val="1"/>
      </rPr>
      <t xml:space="preserve"> </t>
    </r>
  </si>
  <si>
    <r>
      <t>(ID7-ID0)</t>
    </r>
    <r>
      <rPr>
        <vertAlign val="superscript"/>
        <sz val="4.5"/>
        <color rgb="FF000000"/>
        <rFont val="Arial"/>
        <family val="2"/>
      </rPr>
      <t>(2)</t>
    </r>
    <r>
      <rPr>
        <sz val="4.5"/>
        <color theme="1"/>
        <rFont val="Times New Roman"/>
        <family val="1"/>
      </rPr>
      <t xml:space="preserve"> </t>
    </r>
  </si>
  <si>
    <r>
      <t>Manufacturer/Device ID</t>
    </r>
    <r>
      <rPr>
        <sz val="7"/>
        <color theme="1"/>
        <rFont val="Times New Roman"/>
        <family val="1"/>
      </rPr>
      <t xml:space="preserve"> </t>
    </r>
  </si>
  <si>
    <r>
      <t>90h</t>
    </r>
    <r>
      <rPr>
        <sz val="7"/>
        <color theme="1"/>
        <rFont val="Times New Roman"/>
        <family val="1"/>
      </rPr>
      <t xml:space="preserve"> </t>
    </r>
  </si>
  <si>
    <r>
      <t>00h</t>
    </r>
    <r>
      <rPr>
        <sz val="7"/>
        <color theme="1"/>
        <rFont val="Times New Roman"/>
        <family val="1"/>
      </rPr>
      <t xml:space="preserve"> </t>
    </r>
  </si>
  <si>
    <r>
      <t>(MF7-MF0)</t>
    </r>
    <r>
      <rPr>
        <sz val="7"/>
        <color theme="1"/>
        <rFont val="Times New Roman"/>
        <family val="1"/>
      </rPr>
      <t xml:space="preserve"> </t>
    </r>
  </si>
  <si>
    <r>
      <t>(ID7-ID0)</t>
    </r>
    <r>
      <rPr>
        <sz val="7"/>
        <color theme="1"/>
        <rFont val="Times New Roman"/>
        <family val="1"/>
      </rPr>
      <t xml:space="preserve"> </t>
    </r>
  </si>
  <si>
    <r>
      <t>JEDEC ID</t>
    </r>
    <r>
      <rPr>
        <sz val="7"/>
        <color theme="1"/>
        <rFont val="Times New Roman"/>
        <family val="1"/>
      </rPr>
      <t xml:space="preserve"> </t>
    </r>
  </si>
  <si>
    <r>
      <t>9Fh</t>
    </r>
    <r>
      <rPr>
        <sz val="7"/>
        <color theme="1"/>
        <rFont val="Times New Roman"/>
        <family val="1"/>
      </rPr>
      <t xml:space="preserve"> </t>
    </r>
  </si>
  <si>
    <r>
      <t>(ID15-ID8)</t>
    </r>
    <r>
      <rPr>
        <sz val="7"/>
        <color theme="1"/>
        <rFont val="Times New Roman"/>
        <family val="1"/>
      </rPr>
      <t xml:space="preserve"> </t>
    </r>
  </si>
  <si>
    <r>
      <t>Read Unique ID</t>
    </r>
    <r>
      <rPr>
        <sz val="7"/>
        <color theme="1"/>
        <rFont val="Times New Roman"/>
        <family val="1"/>
      </rPr>
      <t xml:space="preserve"> </t>
    </r>
  </si>
  <si>
    <r>
      <t>4Bh</t>
    </r>
    <r>
      <rPr>
        <sz val="7"/>
        <color theme="1"/>
        <rFont val="Times New Roman"/>
        <family val="1"/>
      </rPr>
      <t xml:space="preserve"> </t>
    </r>
  </si>
  <si>
    <r>
      <t>(UID63-0)</t>
    </r>
    <r>
      <rPr>
        <sz val="7"/>
        <color theme="1"/>
        <rFont val="Times New Roman"/>
        <family val="1"/>
      </rPr>
      <t xml:space="preserve"> </t>
    </r>
  </si>
  <si>
    <r>
      <t>Read Data</t>
    </r>
    <r>
      <rPr>
        <sz val="7"/>
        <color theme="1"/>
        <rFont val="Times New Roman"/>
        <family val="1"/>
      </rPr>
      <t xml:space="preserve"> </t>
    </r>
  </si>
  <si>
    <r>
      <t>03h</t>
    </r>
    <r>
      <rPr>
        <sz val="7"/>
        <color theme="1"/>
        <rFont val="Times New Roman"/>
        <family val="1"/>
      </rPr>
      <t xml:space="preserve"> </t>
    </r>
  </si>
  <si>
    <r>
      <t>A23-A16</t>
    </r>
    <r>
      <rPr>
        <sz val="7"/>
        <color theme="1"/>
        <rFont val="Times New Roman"/>
        <family val="1"/>
      </rPr>
      <t xml:space="preserve"> </t>
    </r>
  </si>
  <si>
    <r>
      <t>A15-A8</t>
    </r>
    <r>
      <rPr>
        <sz val="7"/>
        <color theme="1"/>
        <rFont val="Times New Roman"/>
        <family val="1"/>
      </rPr>
      <t xml:space="preserve"> </t>
    </r>
  </si>
  <si>
    <r>
      <t>A7-A0</t>
    </r>
    <r>
      <rPr>
        <sz val="7"/>
        <color theme="1"/>
        <rFont val="Times New Roman"/>
        <family val="1"/>
      </rPr>
      <t xml:space="preserve"> </t>
    </r>
  </si>
  <si>
    <r>
      <t>(D7-D0)</t>
    </r>
    <r>
      <rPr>
        <sz val="7"/>
        <color theme="1"/>
        <rFont val="Times New Roman"/>
        <family val="1"/>
      </rPr>
      <t xml:space="preserve"> </t>
    </r>
  </si>
  <si>
    <r>
      <t>Fast Read</t>
    </r>
    <r>
      <rPr>
        <sz val="7"/>
        <color theme="1"/>
        <rFont val="Times New Roman"/>
        <family val="1"/>
      </rPr>
      <t xml:space="preserve"> </t>
    </r>
  </si>
  <si>
    <r>
      <t>0Bh</t>
    </r>
    <r>
      <rPr>
        <sz val="7"/>
        <color theme="1"/>
        <rFont val="Times New Roman"/>
        <family val="1"/>
      </rPr>
      <t xml:space="preserve"> </t>
    </r>
  </si>
  <si>
    <r>
      <t>Page Program</t>
    </r>
    <r>
      <rPr>
        <sz val="7"/>
        <color theme="1"/>
        <rFont val="Times New Roman"/>
        <family val="1"/>
      </rPr>
      <t xml:space="preserve"> </t>
    </r>
  </si>
  <si>
    <r>
      <t>02h</t>
    </r>
    <r>
      <rPr>
        <sz val="7"/>
        <color theme="1"/>
        <rFont val="Times New Roman"/>
        <family val="1"/>
      </rPr>
      <t xml:space="preserve"> </t>
    </r>
  </si>
  <si>
    <r>
      <t>D7-D0</t>
    </r>
    <r>
      <rPr>
        <sz val="7"/>
        <color theme="1"/>
        <rFont val="Times New Roman"/>
        <family val="1"/>
      </rPr>
      <t xml:space="preserve"> </t>
    </r>
  </si>
  <si>
    <r>
      <t>D7-D0</t>
    </r>
    <r>
      <rPr>
        <vertAlign val="superscript"/>
        <sz val="4.5"/>
        <color rgb="FF000000"/>
        <rFont val="Arial"/>
        <family val="2"/>
      </rPr>
      <t>(3)</t>
    </r>
    <r>
      <rPr>
        <sz val="4.5"/>
        <color theme="1"/>
        <rFont val="Times New Roman"/>
        <family val="1"/>
      </rPr>
      <t xml:space="preserve"> </t>
    </r>
  </si>
  <si>
    <r>
      <t>Sector Erase (4KB)</t>
    </r>
    <r>
      <rPr>
        <sz val="7"/>
        <color theme="1"/>
        <rFont val="Times New Roman"/>
        <family val="1"/>
      </rPr>
      <t xml:space="preserve"> </t>
    </r>
  </si>
  <si>
    <r>
      <t>20h</t>
    </r>
    <r>
      <rPr>
        <sz val="7"/>
        <color theme="1"/>
        <rFont val="Times New Roman"/>
        <family val="1"/>
      </rPr>
      <t xml:space="preserve"> </t>
    </r>
  </si>
  <si>
    <r>
      <t>Block Erase (32KB)</t>
    </r>
    <r>
      <rPr>
        <sz val="7"/>
        <color theme="1"/>
        <rFont val="Times New Roman"/>
        <family val="1"/>
      </rPr>
      <t xml:space="preserve"> </t>
    </r>
  </si>
  <si>
    <r>
      <t>52h</t>
    </r>
    <r>
      <rPr>
        <sz val="7"/>
        <color theme="1"/>
        <rFont val="Times New Roman"/>
        <family val="1"/>
      </rPr>
      <t xml:space="preserve"> </t>
    </r>
  </si>
  <si>
    <r>
      <t>Block Erase (64KB)</t>
    </r>
    <r>
      <rPr>
        <sz val="7"/>
        <color theme="1"/>
        <rFont val="Times New Roman"/>
        <family val="1"/>
      </rPr>
      <t xml:space="preserve"> </t>
    </r>
  </si>
  <si>
    <r>
      <t>D8h</t>
    </r>
    <r>
      <rPr>
        <sz val="7"/>
        <color theme="1"/>
        <rFont val="Times New Roman"/>
        <family val="1"/>
      </rPr>
      <t xml:space="preserve"> </t>
    </r>
  </si>
  <si>
    <r>
      <t>Chip Erase</t>
    </r>
    <r>
      <rPr>
        <sz val="7"/>
        <color theme="1"/>
        <rFont val="Times New Roman"/>
        <family val="1"/>
      </rPr>
      <t xml:space="preserve"> </t>
    </r>
  </si>
  <si>
    <r>
      <t>C7h/60h</t>
    </r>
    <r>
      <rPr>
        <sz val="7"/>
        <color theme="1"/>
        <rFont val="Times New Roman"/>
        <family val="1"/>
      </rPr>
      <t xml:space="preserve"> </t>
    </r>
  </si>
  <si>
    <r>
      <t>Read Status Register-1</t>
    </r>
    <r>
      <rPr>
        <sz val="7"/>
        <color theme="1"/>
        <rFont val="Times New Roman"/>
        <family val="1"/>
      </rPr>
      <t xml:space="preserve"> </t>
    </r>
  </si>
  <si>
    <r>
      <t>05h</t>
    </r>
    <r>
      <rPr>
        <sz val="7"/>
        <color theme="1"/>
        <rFont val="Times New Roman"/>
        <family val="1"/>
      </rPr>
      <t xml:space="preserve"> </t>
    </r>
  </si>
  <si>
    <r>
      <t>(S7-S0)</t>
    </r>
    <r>
      <rPr>
        <vertAlign val="superscript"/>
        <sz val="4.5"/>
        <color rgb="FF000000"/>
        <rFont val="Arial"/>
        <family val="2"/>
      </rPr>
      <t>(2)</t>
    </r>
    <r>
      <rPr>
        <sz val="4.5"/>
        <color theme="1"/>
        <rFont val="Times New Roman"/>
        <family val="1"/>
      </rPr>
      <t xml:space="preserve"> </t>
    </r>
  </si>
  <si>
    <r>
      <t>Write Status Register-1</t>
    </r>
    <r>
      <rPr>
        <sz val="7"/>
        <color theme="1"/>
        <rFont val="Times New Roman"/>
        <family val="1"/>
      </rPr>
      <t xml:space="preserve"> </t>
    </r>
  </si>
  <si>
    <r>
      <t>01h</t>
    </r>
    <r>
      <rPr>
        <sz val="7"/>
        <color theme="1"/>
        <rFont val="Times New Roman"/>
        <family val="1"/>
      </rPr>
      <t xml:space="preserve"> </t>
    </r>
  </si>
  <si>
    <r>
      <t>(S7-S0)</t>
    </r>
    <r>
      <rPr>
        <sz val="7"/>
        <color theme="1"/>
        <rFont val="Times New Roman"/>
        <family val="1"/>
      </rPr>
      <t xml:space="preserve"> </t>
    </r>
  </si>
  <si>
    <r>
      <t>Read Status Register-2</t>
    </r>
    <r>
      <rPr>
        <sz val="7"/>
        <color theme="1"/>
        <rFont val="Times New Roman"/>
        <family val="1"/>
      </rPr>
      <t xml:space="preserve"> </t>
    </r>
  </si>
  <si>
    <r>
      <t>35h</t>
    </r>
    <r>
      <rPr>
        <sz val="7"/>
        <color theme="1"/>
        <rFont val="Times New Roman"/>
        <family val="1"/>
      </rPr>
      <t xml:space="preserve"> </t>
    </r>
  </si>
  <si>
    <r>
      <t>(S15-S8)</t>
    </r>
    <r>
      <rPr>
        <vertAlign val="superscript"/>
        <sz val="4.5"/>
        <color rgb="FF000000"/>
        <rFont val="Arial"/>
        <family val="2"/>
      </rPr>
      <t>(2)</t>
    </r>
    <r>
      <rPr>
        <sz val="4.5"/>
        <color theme="1"/>
        <rFont val="Times New Roman"/>
        <family val="1"/>
      </rPr>
      <t xml:space="preserve"> </t>
    </r>
  </si>
  <si>
    <r>
      <t>Write Status Register-2</t>
    </r>
    <r>
      <rPr>
        <sz val="7"/>
        <color theme="1"/>
        <rFont val="Times New Roman"/>
        <family val="1"/>
      </rPr>
      <t xml:space="preserve"> </t>
    </r>
  </si>
  <si>
    <r>
      <t>31h</t>
    </r>
    <r>
      <rPr>
        <sz val="7"/>
        <color theme="1"/>
        <rFont val="Times New Roman"/>
        <family val="1"/>
      </rPr>
      <t xml:space="preserve"> </t>
    </r>
  </si>
  <si>
    <r>
      <t>(S15-S8)</t>
    </r>
    <r>
      <rPr>
        <sz val="7"/>
        <color theme="1"/>
        <rFont val="Times New Roman"/>
        <family val="1"/>
      </rPr>
      <t xml:space="preserve"> </t>
    </r>
  </si>
  <si>
    <r>
      <t>Read Status Register-3</t>
    </r>
    <r>
      <rPr>
        <sz val="7"/>
        <color theme="1"/>
        <rFont val="Times New Roman"/>
        <family val="1"/>
      </rPr>
      <t xml:space="preserve"> </t>
    </r>
  </si>
  <si>
    <r>
      <t>15h</t>
    </r>
    <r>
      <rPr>
        <sz val="7"/>
        <color theme="1"/>
        <rFont val="Times New Roman"/>
        <family val="1"/>
      </rPr>
      <t xml:space="preserve"> </t>
    </r>
  </si>
  <si>
    <r>
      <t>(S23-S16)</t>
    </r>
    <r>
      <rPr>
        <vertAlign val="superscript"/>
        <sz val="4.5"/>
        <color rgb="FF000000"/>
        <rFont val="Arial"/>
        <family val="2"/>
      </rPr>
      <t>(2)</t>
    </r>
    <r>
      <rPr>
        <sz val="4.5"/>
        <color theme="1"/>
        <rFont val="Times New Roman"/>
        <family val="1"/>
      </rPr>
      <t xml:space="preserve"> </t>
    </r>
  </si>
  <si>
    <r>
      <t>Write Status Register-3</t>
    </r>
    <r>
      <rPr>
        <sz val="7"/>
        <color theme="1"/>
        <rFont val="Times New Roman"/>
        <family val="1"/>
      </rPr>
      <t xml:space="preserve"> </t>
    </r>
  </si>
  <si>
    <r>
      <t>11h</t>
    </r>
    <r>
      <rPr>
        <sz val="7"/>
        <color theme="1"/>
        <rFont val="Times New Roman"/>
        <family val="1"/>
      </rPr>
      <t xml:space="preserve"> </t>
    </r>
  </si>
  <si>
    <r>
      <t>(S23-S16)</t>
    </r>
    <r>
      <rPr>
        <sz val="7"/>
        <color theme="1"/>
        <rFont val="Times New Roman"/>
        <family val="1"/>
      </rPr>
      <t xml:space="preserve"> </t>
    </r>
  </si>
  <si>
    <r>
      <t>Read SFDP Register</t>
    </r>
    <r>
      <rPr>
        <sz val="7"/>
        <color theme="1"/>
        <rFont val="Times New Roman"/>
        <family val="1"/>
      </rPr>
      <t xml:space="preserve"> </t>
    </r>
  </si>
  <si>
    <r>
      <t>5Ah</t>
    </r>
    <r>
      <rPr>
        <sz val="7"/>
        <color theme="1"/>
        <rFont val="Times New Roman"/>
        <family val="1"/>
      </rPr>
      <t xml:space="preserve"> </t>
    </r>
  </si>
  <si>
    <r>
      <t>dummy</t>
    </r>
    <r>
      <rPr>
        <sz val="7"/>
        <color theme="1"/>
        <rFont val="Times New Roman"/>
        <family val="1"/>
      </rPr>
      <t xml:space="preserve"> </t>
    </r>
  </si>
  <si>
    <r>
      <t>(D7-0)</t>
    </r>
    <r>
      <rPr>
        <sz val="7"/>
        <color theme="1"/>
        <rFont val="Times New Roman"/>
        <family val="1"/>
      </rPr>
      <t xml:space="preserve"> </t>
    </r>
  </si>
  <si>
    <r>
      <t>Erase Security Register</t>
    </r>
    <r>
      <rPr>
        <vertAlign val="superscript"/>
        <sz val="4.5"/>
        <color rgb="FF000000"/>
        <rFont val="Arial"/>
        <family val="2"/>
      </rPr>
      <t>(4)</t>
    </r>
    <r>
      <rPr>
        <sz val="4.5"/>
        <color theme="1"/>
        <rFont val="Times New Roman"/>
        <family val="1"/>
      </rPr>
      <t xml:space="preserve"> </t>
    </r>
  </si>
  <si>
    <r>
      <t>44h</t>
    </r>
    <r>
      <rPr>
        <sz val="7"/>
        <color theme="1"/>
        <rFont val="Times New Roman"/>
        <family val="1"/>
      </rPr>
      <t xml:space="preserve"> </t>
    </r>
  </si>
  <si>
    <r>
      <t>Program Security Register</t>
    </r>
    <r>
      <rPr>
        <vertAlign val="superscript"/>
        <sz val="4.5"/>
        <color rgb="FF000000"/>
        <rFont val="Arial"/>
        <family val="2"/>
      </rPr>
      <t>(4)</t>
    </r>
    <r>
      <rPr>
        <sz val="4.5"/>
        <color theme="1"/>
        <rFont val="Times New Roman"/>
        <family val="1"/>
      </rPr>
      <t xml:space="preserve"> </t>
    </r>
  </si>
  <si>
    <r>
      <t>42h</t>
    </r>
    <r>
      <rPr>
        <sz val="7"/>
        <color theme="1"/>
        <rFont val="Times New Roman"/>
        <family val="1"/>
      </rPr>
      <t xml:space="preserve"> </t>
    </r>
  </si>
  <si>
    <r>
      <t>Read Security Register</t>
    </r>
    <r>
      <rPr>
        <vertAlign val="superscript"/>
        <sz val="4.5"/>
        <color rgb="FF000000"/>
        <rFont val="Arial"/>
        <family val="2"/>
      </rPr>
      <t>((4)</t>
    </r>
    <r>
      <rPr>
        <sz val="4.5"/>
        <color theme="1"/>
        <rFont val="Times New Roman"/>
        <family val="1"/>
      </rPr>
      <t xml:space="preserve"> </t>
    </r>
  </si>
  <si>
    <r>
      <t>48h</t>
    </r>
    <r>
      <rPr>
        <sz val="7"/>
        <color theme="1"/>
        <rFont val="Times New Roman"/>
        <family val="1"/>
      </rPr>
      <t xml:space="preserve"> </t>
    </r>
  </si>
  <si>
    <r>
      <t>Erase / Program Suspend</t>
    </r>
    <r>
      <rPr>
        <sz val="7"/>
        <color theme="1"/>
        <rFont val="Times New Roman"/>
        <family val="1"/>
      </rPr>
      <t xml:space="preserve"> </t>
    </r>
  </si>
  <si>
    <r>
      <t>75h</t>
    </r>
    <r>
      <rPr>
        <sz val="7"/>
        <color theme="1"/>
        <rFont val="Times New Roman"/>
        <family val="1"/>
      </rPr>
      <t xml:space="preserve"> </t>
    </r>
  </si>
  <si>
    <r>
      <t>Erase / Program Resume</t>
    </r>
    <r>
      <rPr>
        <sz val="7"/>
        <color theme="1"/>
        <rFont val="Times New Roman"/>
        <family val="1"/>
      </rPr>
      <t xml:space="preserve"> </t>
    </r>
  </si>
  <si>
    <r>
      <t>7Ah</t>
    </r>
    <r>
      <rPr>
        <sz val="7"/>
        <color theme="1"/>
        <rFont val="Times New Roman"/>
        <family val="1"/>
      </rPr>
      <t xml:space="preserve"> </t>
    </r>
  </si>
  <si>
    <r>
      <t>Power-down</t>
    </r>
    <r>
      <rPr>
        <sz val="7"/>
        <color theme="1"/>
        <rFont val="Times New Roman"/>
        <family val="1"/>
      </rPr>
      <t xml:space="preserve"> </t>
    </r>
  </si>
  <si>
    <r>
      <t>B9h</t>
    </r>
    <r>
      <rPr>
        <sz val="7"/>
        <color theme="1"/>
        <rFont val="Times New Roman"/>
        <family val="1"/>
      </rPr>
      <t xml:space="preserve"> </t>
    </r>
  </si>
  <si>
    <r>
      <t>Set Read Parameters</t>
    </r>
    <r>
      <rPr>
        <sz val="7"/>
        <color theme="1"/>
        <rFont val="Times New Roman"/>
        <family val="1"/>
      </rPr>
      <t xml:space="preserve"> </t>
    </r>
  </si>
  <si>
    <r>
      <t>C0h</t>
    </r>
    <r>
      <rPr>
        <sz val="7"/>
        <color theme="1"/>
        <rFont val="Times New Roman"/>
        <family val="1"/>
      </rPr>
      <t xml:space="preserve"> </t>
    </r>
  </si>
  <si>
    <r>
      <t>P7-P0</t>
    </r>
    <r>
      <rPr>
        <sz val="7"/>
        <color theme="1"/>
        <rFont val="Times New Roman"/>
        <family val="1"/>
      </rPr>
      <t xml:space="preserve"> </t>
    </r>
  </si>
  <si>
    <r>
      <t>Enter QPI Mode</t>
    </r>
    <r>
      <rPr>
        <sz val="7"/>
        <color theme="1"/>
        <rFont val="Times New Roman"/>
        <family val="1"/>
      </rPr>
      <t xml:space="preserve"> </t>
    </r>
  </si>
  <si>
    <r>
      <t>38h</t>
    </r>
    <r>
      <rPr>
        <sz val="7"/>
        <color theme="1"/>
        <rFont val="Times New Roman"/>
        <family val="1"/>
      </rPr>
      <t xml:space="preserve"> </t>
    </r>
  </si>
  <si>
    <r>
      <t>Enable Reset</t>
    </r>
    <r>
      <rPr>
        <sz val="7"/>
        <color theme="1"/>
        <rFont val="Times New Roman"/>
        <family val="1"/>
      </rPr>
      <t xml:space="preserve"> </t>
    </r>
  </si>
  <si>
    <r>
      <t>66h</t>
    </r>
    <r>
      <rPr>
        <sz val="7"/>
        <color theme="1"/>
        <rFont val="Times New Roman"/>
        <family val="1"/>
      </rPr>
      <t xml:space="preserve"> </t>
    </r>
  </si>
  <si>
    <r>
      <t>Reset Device</t>
    </r>
    <r>
      <rPr>
        <sz val="7"/>
        <color theme="1"/>
        <rFont val="Times New Roman"/>
        <family val="1"/>
      </rPr>
      <t xml:space="preserve"> </t>
    </r>
  </si>
  <si>
    <r>
      <t>99h</t>
    </r>
    <r>
      <rPr>
        <sz val="7"/>
        <color theme="1"/>
        <rFont val="Times New Roman"/>
        <family val="1"/>
      </rPr>
      <t xml:space="preserve"> </t>
    </r>
  </si>
  <si>
    <t>SPI Instructions</t>
  </si>
  <si>
    <r>
      <rPr>
        <b/>
        <sz val="11"/>
        <color rgb="FF000000"/>
        <rFont val="Arial"/>
        <family val="2"/>
      </rPr>
      <t>Instruction Set Table 2 (Dual/Quad SPI Instructions)</t>
    </r>
    <r>
      <rPr>
        <b/>
        <vertAlign val="superscript"/>
        <sz val="7"/>
        <color rgb="FF000000"/>
        <rFont val="Arial"/>
        <family val="2"/>
      </rPr>
      <t xml:space="preserve"> (1)</t>
    </r>
  </si>
  <si>
    <t>W25Q32RV</t>
  </si>
  <si>
    <r>
      <rPr>
        <b/>
        <sz val="7"/>
        <color rgb="FF000000"/>
        <rFont val="Arial"/>
        <family val="2"/>
      </rPr>
      <t>Data Input Output</t>
    </r>
  </si>
  <si>
    <r>
      <rPr>
        <b/>
        <sz val="7"/>
        <color rgb="FF000000"/>
        <rFont val="Arial"/>
        <family val="2"/>
      </rPr>
      <t>Byte 1</t>
    </r>
  </si>
  <si>
    <r>
      <rPr>
        <b/>
        <sz val="7"/>
        <color rgb="FF000000"/>
        <rFont val="Arial"/>
        <family val="2"/>
      </rPr>
      <t>Byte 2</t>
    </r>
  </si>
  <si>
    <r>
      <rPr>
        <b/>
        <sz val="7"/>
        <color rgb="FF000000"/>
        <rFont val="Arial"/>
        <family val="2"/>
      </rPr>
      <t>Byte 3</t>
    </r>
  </si>
  <si>
    <r>
      <rPr>
        <b/>
        <sz val="7"/>
        <color rgb="FF000000"/>
        <rFont val="Arial"/>
        <family val="2"/>
      </rPr>
      <t>Byte 4</t>
    </r>
  </si>
  <si>
    <r>
      <rPr>
        <b/>
        <sz val="7"/>
        <color rgb="FF000000"/>
        <rFont val="Arial"/>
        <family val="2"/>
      </rPr>
      <t>Byte 5</t>
    </r>
  </si>
  <si>
    <r>
      <rPr>
        <b/>
        <sz val="7"/>
        <color rgb="FF000000"/>
        <rFont val="Arial"/>
        <family val="2"/>
      </rPr>
      <t>Byte 6</t>
    </r>
  </si>
  <si>
    <r>
      <rPr>
        <b/>
        <sz val="7"/>
        <color rgb="FF000000"/>
        <rFont val="Arial"/>
        <family val="2"/>
      </rPr>
      <t>Byte 7</t>
    </r>
  </si>
  <si>
    <r>
      <rPr>
        <b/>
        <sz val="7"/>
        <color rgb="FF000000"/>
        <rFont val="Arial"/>
        <family val="2"/>
      </rPr>
      <t>Byte 8</t>
    </r>
  </si>
  <si>
    <r>
      <rPr>
        <b/>
        <sz val="7"/>
        <color rgb="FF000000"/>
        <rFont val="Arial"/>
        <family val="2"/>
      </rPr>
      <t>Byte 9</t>
    </r>
  </si>
  <si>
    <r>
      <rPr>
        <b/>
        <sz val="7"/>
        <color rgb="FF000000"/>
        <rFont val="Arial"/>
        <family val="2"/>
      </rPr>
      <t>Number of Clock</t>
    </r>
    <r>
      <rPr>
        <sz val="5"/>
        <color rgb="FF000000"/>
        <rFont val="Arial"/>
        <family val="2"/>
      </rPr>
      <t>(1-1-2)</t>
    </r>
  </si>
  <si>
    <r>
      <rPr>
        <sz val="7"/>
        <color rgb="FF000000"/>
        <rFont val="Arial"/>
        <family val="2"/>
      </rPr>
      <t>Fast Read Dual Output</t>
    </r>
  </si>
  <si>
    <r>
      <rPr>
        <b/>
        <sz val="7"/>
        <color rgb="FF000000"/>
        <rFont val="Arial"/>
        <family val="2"/>
      </rPr>
      <t>3Bh</t>
    </r>
  </si>
  <si>
    <r>
      <rPr>
        <sz val="7"/>
        <color rgb="FF000000"/>
        <rFont val="Arial"/>
        <family val="2"/>
      </rPr>
      <t>A23-A16</t>
    </r>
  </si>
  <si>
    <r>
      <rPr>
        <sz val="7"/>
        <color rgb="FF000000"/>
        <rFont val="Arial"/>
        <family val="2"/>
      </rPr>
      <t>A15-A8</t>
    </r>
  </si>
  <si>
    <r>
      <rPr>
        <sz val="7"/>
        <color rgb="FF000000"/>
        <rFont val="Arial"/>
        <family val="2"/>
      </rPr>
      <t>A7-A0</t>
    </r>
  </si>
  <si>
    <r>
      <rPr>
        <sz val="7"/>
        <color rgb="FF000000"/>
        <rFont val="Arial"/>
        <family val="2"/>
      </rPr>
      <t>Dummy</t>
    </r>
  </si>
  <si>
    <r>
      <rPr>
        <sz val="7"/>
        <color rgb="FF000000"/>
        <rFont val="Arial"/>
        <family val="2"/>
      </rPr>
      <t>(D7-D0)</t>
    </r>
    <r>
      <rPr>
        <vertAlign val="superscript"/>
        <sz val="5"/>
        <color rgb="FF000000"/>
        <rFont val="Arial"/>
        <family val="2"/>
      </rPr>
      <t>(6)</t>
    </r>
  </si>
  <si>
    <r>
      <rPr>
        <sz val="7"/>
        <color rgb="FF000000"/>
        <rFont val="Arial"/>
        <family val="2"/>
      </rPr>
      <t>…</t>
    </r>
  </si>
  <si>
    <r>
      <rPr>
        <b/>
        <sz val="7"/>
        <color rgb="FF000000"/>
        <rFont val="Arial"/>
        <family val="2"/>
      </rPr>
      <t>Number of Clock</t>
    </r>
    <r>
      <rPr>
        <sz val="5"/>
        <color rgb="FF000000"/>
        <rFont val="Arial"/>
        <family val="2"/>
      </rPr>
      <t>(1-2-2)</t>
    </r>
  </si>
  <si>
    <r>
      <rPr>
        <sz val="7"/>
        <color rgb="FF000000"/>
        <rFont val="Arial"/>
        <family val="2"/>
      </rPr>
      <t>Fast Read Dual I/O</t>
    </r>
  </si>
  <si>
    <r>
      <rPr>
        <b/>
        <sz val="7"/>
        <color rgb="FF000000"/>
        <rFont val="Arial"/>
        <family val="2"/>
      </rPr>
      <t>BBh</t>
    </r>
  </si>
  <si>
    <r>
      <rPr>
        <sz val="7"/>
        <color rgb="FF000000"/>
        <rFont val="Arial"/>
        <family val="2"/>
      </rPr>
      <t>A23-A16</t>
    </r>
    <r>
      <rPr>
        <vertAlign val="superscript"/>
        <sz val="5"/>
        <color rgb="FF000000"/>
        <rFont val="Arial"/>
        <family val="2"/>
      </rPr>
      <t>(5)</t>
    </r>
  </si>
  <si>
    <r>
      <rPr>
        <sz val="7"/>
        <color rgb="FF000000"/>
        <rFont val="Arial"/>
        <family val="2"/>
      </rPr>
      <t>A15-A8</t>
    </r>
    <r>
      <rPr>
        <vertAlign val="superscript"/>
        <sz val="5"/>
        <color rgb="FF000000"/>
        <rFont val="Arial"/>
        <family val="2"/>
      </rPr>
      <t>(5)</t>
    </r>
  </si>
  <si>
    <r>
      <rPr>
        <sz val="7"/>
        <color rgb="FF000000"/>
        <rFont val="Arial"/>
        <family val="2"/>
      </rPr>
      <t>A7-A0</t>
    </r>
    <r>
      <rPr>
        <vertAlign val="superscript"/>
        <sz val="5"/>
        <color rgb="FF000000"/>
        <rFont val="Arial"/>
        <family val="2"/>
      </rPr>
      <t>(5)</t>
    </r>
  </si>
  <si>
    <r>
      <rPr>
        <sz val="7"/>
        <color rgb="FF000000"/>
        <rFont val="Arial"/>
        <family val="2"/>
      </rPr>
      <t>M7-M0</t>
    </r>
  </si>
  <si>
    <r>
      <rPr>
        <sz val="7"/>
        <color rgb="FF000000"/>
        <rFont val="Arial"/>
        <family val="2"/>
      </rPr>
      <t>Mftr./Device ID Dual I/O</t>
    </r>
  </si>
  <si>
    <r>
      <rPr>
        <b/>
        <sz val="7"/>
        <color rgb="FF000000"/>
        <rFont val="Arial"/>
        <family val="2"/>
      </rPr>
      <t>92h</t>
    </r>
  </si>
  <si>
    <r>
      <rPr>
        <sz val="7"/>
        <color rgb="FF000000"/>
        <rFont val="Arial"/>
        <family val="2"/>
      </rPr>
      <t>00</t>
    </r>
    <r>
      <rPr>
        <vertAlign val="superscript"/>
        <sz val="5"/>
        <color rgb="FF000000"/>
        <rFont val="Arial"/>
        <family val="2"/>
      </rPr>
      <t>(5)</t>
    </r>
  </si>
  <si>
    <r>
      <rPr>
        <sz val="7"/>
        <color rgb="FF000000"/>
        <rFont val="Arial"/>
        <family val="2"/>
      </rPr>
      <t>Dummy</t>
    </r>
    <r>
      <rPr>
        <vertAlign val="superscript"/>
        <sz val="5"/>
        <color rgb="FF000000"/>
        <rFont val="Arial"/>
        <family val="2"/>
      </rPr>
      <t>(17)</t>
    </r>
  </si>
  <si>
    <t>(MF7-MF0)(6)</t>
  </si>
  <si>
    <r>
      <rPr>
        <sz val="7"/>
        <color rgb="FF000000"/>
        <rFont val="Arial"/>
        <family val="2"/>
      </rPr>
      <t>(ID7-ID0)</t>
    </r>
    <r>
      <rPr>
        <vertAlign val="superscript"/>
        <sz val="5"/>
        <color rgb="FF000000"/>
        <rFont val="Arial"/>
        <family val="2"/>
      </rPr>
      <t>(6)</t>
    </r>
  </si>
  <si>
    <r>
      <rPr>
        <b/>
        <sz val="7"/>
        <color rgb="FF000000"/>
        <rFont val="Arial"/>
        <family val="2"/>
      </rPr>
      <t>Number of Clock</t>
    </r>
    <r>
      <rPr>
        <sz val="5"/>
        <color rgb="FF000000"/>
        <rFont val="Arial"/>
        <family val="2"/>
      </rPr>
      <t>(1-1-4)</t>
    </r>
  </si>
  <si>
    <r>
      <rPr>
        <sz val="7"/>
        <color rgb="FF000000"/>
        <rFont val="Arial"/>
        <family val="2"/>
      </rPr>
      <t>Quad Input Page Program</t>
    </r>
  </si>
  <si>
    <r>
      <rPr>
        <b/>
        <sz val="7"/>
        <color rgb="FF000000"/>
        <rFont val="Arial"/>
        <family val="2"/>
      </rPr>
      <t>32h</t>
    </r>
  </si>
  <si>
    <r>
      <rPr>
        <sz val="7"/>
        <color rgb="FF000000"/>
        <rFont val="Arial"/>
        <family val="2"/>
      </rPr>
      <t>(D7-D0)</t>
    </r>
    <r>
      <rPr>
        <vertAlign val="superscript"/>
        <sz val="5"/>
        <color rgb="FF000000"/>
        <rFont val="Arial"/>
        <family val="2"/>
      </rPr>
      <t>(8)</t>
    </r>
  </si>
  <si>
    <r>
      <rPr>
        <sz val="7"/>
        <color rgb="FF000000"/>
        <rFont val="Arial"/>
        <family val="2"/>
      </rPr>
      <t>(D7-D0)</t>
    </r>
    <r>
      <rPr>
        <vertAlign val="superscript"/>
        <sz val="5"/>
        <color rgb="FF000000"/>
        <rFont val="Arial"/>
        <family val="2"/>
      </rPr>
      <t>(3)</t>
    </r>
  </si>
  <si>
    <r>
      <rPr>
        <sz val="7"/>
        <color rgb="FF000000"/>
        <rFont val="Arial"/>
        <family val="2"/>
      </rPr>
      <t>Fast Read Quad Output</t>
    </r>
  </si>
  <si>
    <r>
      <rPr>
        <b/>
        <sz val="7"/>
        <color rgb="FF000000"/>
        <rFont val="Arial"/>
        <family val="2"/>
      </rPr>
      <t>6Bh</t>
    </r>
  </si>
  <si>
    <r>
      <rPr>
        <sz val="7"/>
        <color rgb="FF000000"/>
        <rFont val="Arial"/>
        <family val="2"/>
      </rPr>
      <t>(D7-D0)</t>
    </r>
    <r>
      <rPr>
        <vertAlign val="superscript"/>
        <sz val="5"/>
        <color rgb="FF000000"/>
        <rFont val="Arial"/>
        <family val="2"/>
      </rPr>
      <t>(9)</t>
    </r>
  </si>
  <si>
    <r>
      <rPr>
        <b/>
        <sz val="7"/>
        <color rgb="FF000000"/>
        <rFont val="Arial"/>
        <family val="2"/>
      </rPr>
      <t>Number of Clock</t>
    </r>
    <r>
      <rPr>
        <sz val="5"/>
        <color rgb="FF000000"/>
        <rFont val="Arial"/>
        <family val="2"/>
      </rPr>
      <t>(1-4-4)</t>
    </r>
  </si>
  <si>
    <r>
      <rPr>
        <b/>
        <sz val="7"/>
        <color rgb="FF000000"/>
        <rFont val="Arial"/>
        <family val="2"/>
      </rPr>
      <t>2</t>
    </r>
    <r>
      <rPr>
        <vertAlign val="superscript"/>
        <sz val="5"/>
        <color rgb="FF000000"/>
        <rFont val="Arial"/>
        <family val="2"/>
      </rPr>
      <t>(7)</t>
    </r>
  </si>
  <si>
    <r>
      <rPr>
        <sz val="7"/>
        <color rgb="FF000000"/>
        <rFont val="Arial"/>
        <family val="2"/>
      </rPr>
      <t>Mftr./Device ID Quad I/O</t>
    </r>
  </si>
  <si>
    <r>
      <rPr>
        <b/>
        <sz val="7"/>
        <color rgb="FF000000"/>
        <rFont val="Arial"/>
        <family val="2"/>
      </rPr>
      <t>94h</t>
    </r>
  </si>
  <si>
    <r>
      <rPr>
        <sz val="7"/>
        <color rgb="FF000000"/>
        <rFont val="Arial"/>
        <family val="2"/>
      </rPr>
      <t>Dummy</t>
    </r>
    <r>
      <rPr>
        <vertAlign val="superscript"/>
        <sz val="5"/>
        <color rgb="FF000000"/>
        <rFont val="Arial"/>
        <family val="2"/>
      </rPr>
      <t>(13)</t>
    </r>
  </si>
  <si>
    <r>
      <rPr>
        <sz val="7"/>
        <color rgb="FF000000"/>
        <rFont val="Arial"/>
        <family val="2"/>
      </rPr>
      <t>(MF7-MF0)</t>
    </r>
  </si>
  <si>
    <r>
      <rPr>
        <sz val="7"/>
        <color rgb="FF000000"/>
        <rFont val="Arial"/>
        <family val="2"/>
      </rPr>
      <t>(ID7-ID0)</t>
    </r>
  </si>
  <si>
    <r>
      <rPr>
        <sz val="7"/>
        <color rgb="FF000000"/>
        <rFont val="Arial"/>
        <family val="2"/>
      </rPr>
      <t>Fast Read Quad I/O</t>
    </r>
  </si>
  <si>
    <r>
      <rPr>
        <b/>
        <sz val="7"/>
        <color rgb="FF000000"/>
        <rFont val="Arial"/>
        <family val="2"/>
      </rPr>
      <t>EBh</t>
    </r>
  </si>
  <si>
    <r>
      <rPr>
        <sz val="7"/>
        <color rgb="FF000000"/>
        <rFont val="Arial"/>
        <family val="2"/>
      </rPr>
      <t>M7-M0</t>
    </r>
    <r>
      <rPr>
        <vertAlign val="superscript"/>
        <sz val="5"/>
        <color rgb="FF000000"/>
        <rFont val="Arial"/>
        <family val="2"/>
      </rPr>
      <t>(13)</t>
    </r>
  </si>
  <si>
    <r>
      <rPr>
        <sz val="7"/>
        <color rgb="FF000000"/>
        <rFont val="Arial"/>
        <family val="2"/>
      </rPr>
      <t>Dummy</t>
    </r>
    <r>
      <rPr>
        <vertAlign val="superscript"/>
        <sz val="5"/>
        <color rgb="FF000000"/>
        <rFont val="Arial"/>
        <family val="2"/>
      </rPr>
      <t>(11)</t>
    </r>
  </si>
  <si>
    <r>
      <rPr>
        <sz val="7"/>
        <color rgb="FF000000"/>
        <rFont val="Arial"/>
        <family val="2"/>
      </rPr>
      <t>(D7-D0)</t>
    </r>
  </si>
  <si>
    <r>
      <rPr>
        <sz val="7"/>
        <color rgb="FF000000"/>
        <rFont val="Arial"/>
        <family val="2"/>
      </rPr>
      <t>Set Burst with Wrap</t>
    </r>
  </si>
  <si>
    <r>
      <rPr>
        <b/>
        <sz val="7"/>
        <color rgb="FF000000"/>
        <rFont val="Arial"/>
        <family val="2"/>
      </rPr>
      <t>77h</t>
    </r>
  </si>
  <si>
    <r>
      <rPr>
        <sz val="7"/>
        <color rgb="FF000000"/>
        <rFont val="Arial"/>
        <family val="2"/>
      </rPr>
      <t>W7-W0</t>
    </r>
  </si>
  <si>
    <r>
      <t>Instruction Set Table 3 (QPI Instructions)</t>
    </r>
    <r>
      <rPr>
        <b/>
        <vertAlign val="superscript"/>
        <sz val="7"/>
        <color rgb="FF000000"/>
        <rFont val="Arial"/>
        <family val="2"/>
      </rPr>
      <t>(10)</t>
    </r>
  </si>
  <si>
    <r>
      <rPr>
        <b/>
        <sz val="18"/>
        <color rgb="FF000000"/>
        <rFont val="Times New Roman"/>
        <family val="1"/>
      </rPr>
      <t>W25Q32RV</t>
    </r>
  </si>
  <si>
    <r>
      <rPr>
        <b/>
        <sz val="7"/>
        <color rgb="FF000000"/>
        <rFont val="Arial"/>
        <family val="2"/>
      </rPr>
      <t xml:space="preserve">Number of Clock </t>
    </r>
    <r>
      <rPr>
        <b/>
        <sz val="5"/>
        <color rgb="FF000000"/>
        <rFont val="Arial"/>
        <family val="2"/>
      </rPr>
      <t>(4-4-4)</t>
    </r>
  </si>
  <si>
    <r>
      <rPr>
        <sz val="7"/>
        <color rgb="FF000000"/>
        <rFont val="Arial"/>
        <family val="2"/>
      </rPr>
      <t>Write Enable</t>
    </r>
  </si>
  <si>
    <r>
      <rPr>
        <b/>
        <sz val="7"/>
        <color rgb="FF000000"/>
        <rFont val="Arial"/>
        <family val="2"/>
      </rPr>
      <t>06h</t>
    </r>
  </si>
  <si>
    <r>
      <rPr>
        <sz val="7"/>
        <color rgb="FF000000"/>
        <rFont val="Arial"/>
        <family val="2"/>
      </rPr>
      <t>Volatile SR Write Enable</t>
    </r>
  </si>
  <si>
    <r>
      <rPr>
        <b/>
        <sz val="7"/>
        <color rgb="FF000000"/>
        <rFont val="Arial"/>
        <family val="2"/>
      </rPr>
      <t>50h</t>
    </r>
  </si>
  <si>
    <r>
      <rPr>
        <sz val="7"/>
        <color rgb="FF000000"/>
        <rFont val="Arial"/>
        <family val="2"/>
      </rPr>
      <t>Write Disable</t>
    </r>
  </si>
  <si>
    <r>
      <rPr>
        <b/>
        <sz val="7"/>
        <color rgb="FF000000"/>
        <rFont val="Arial"/>
        <family val="2"/>
      </rPr>
      <t>04h</t>
    </r>
  </si>
  <si>
    <r>
      <rPr>
        <sz val="7"/>
        <color rgb="FF000000"/>
        <rFont val="Arial"/>
        <family val="2"/>
      </rPr>
      <t>Release Power-down / ID</t>
    </r>
  </si>
  <si>
    <r>
      <rPr>
        <b/>
        <sz val="7"/>
        <color rgb="FF000000"/>
        <rFont val="Arial"/>
        <family val="2"/>
      </rPr>
      <t>ABh</t>
    </r>
  </si>
  <si>
    <r>
      <rPr>
        <sz val="7"/>
        <color rgb="FF000000"/>
        <rFont val="Arial"/>
        <family val="2"/>
      </rPr>
      <t>(ID7-ID0)</t>
    </r>
    <r>
      <rPr>
        <vertAlign val="superscript"/>
        <sz val="5"/>
        <color rgb="FF000000"/>
        <rFont val="Arial"/>
        <family val="2"/>
      </rPr>
      <t>(2)</t>
    </r>
  </si>
  <si>
    <r>
      <rPr>
        <sz val="7"/>
        <color rgb="FF000000"/>
        <rFont val="Arial"/>
        <family val="2"/>
      </rPr>
      <t>Manufacturer/Device ID</t>
    </r>
  </si>
  <si>
    <r>
      <rPr>
        <b/>
        <sz val="7"/>
        <color rgb="FF000000"/>
        <rFont val="Arial"/>
        <family val="2"/>
      </rPr>
      <t>90h</t>
    </r>
  </si>
  <si>
    <r>
      <rPr>
        <sz val="7"/>
        <color rgb="FF000000"/>
        <rFont val="Arial"/>
        <family val="2"/>
      </rPr>
      <t>00h</t>
    </r>
  </si>
  <si>
    <r>
      <rPr>
        <sz val="7"/>
        <color rgb="FF000000"/>
        <rFont val="Arial"/>
        <family val="2"/>
      </rPr>
      <t>JEDEC ID</t>
    </r>
  </si>
  <si>
    <r>
      <rPr>
        <b/>
        <sz val="7"/>
        <color rgb="FF000000"/>
        <rFont val="Arial"/>
        <family val="2"/>
      </rPr>
      <t>9Fh</t>
    </r>
  </si>
  <si>
    <r>
      <rPr>
        <sz val="7"/>
        <color rgb="FF000000"/>
        <rFont val="Arial"/>
        <family val="2"/>
      </rPr>
      <t>(ID15-ID8)</t>
    </r>
  </si>
  <si>
    <r>
      <rPr>
        <sz val="7"/>
        <color rgb="FF000000"/>
        <rFont val="Arial"/>
        <family val="2"/>
      </rPr>
      <t>Set Read Parameters</t>
    </r>
  </si>
  <si>
    <r>
      <rPr>
        <b/>
        <sz val="7"/>
        <color rgb="FF000000"/>
        <rFont val="Arial"/>
        <family val="2"/>
      </rPr>
      <t>C0h</t>
    </r>
  </si>
  <si>
    <r>
      <rPr>
        <sz val="7"/>
        <color rgb="FF000000"/>
        <rFont val="Arial"/>
        <family val="2"/>
      </rPr>
      <t>P7-P0</t>
    </r>
  </si>
  <si>
    <r>
      <rPr>
        <sz val="7"/>
        <color rgb="FF000000"/>
        <rFont val="Arial"/>
        <family val="2"/>
      </rPr>
      <t>Page Program</t>
    </r>
  </si>
  <si>
    <r>
      <rPr>
        <b/>
        <sz val="7"/>
        <color rgb="FF000000"/>
        <rFont val="Arial"/>
        <family val="2"/>
      </rPr>
      <t>02h</t>
    </r>
  </si>
  <si>
    <r>
      <rPr>
        <sz val="7"/>
        <color rgb="FF000000"/>
        <rFont val="Arial"/>
        <family val="2"/>
      </rPr>
      <t>D7-D0</t>
    </r>
    <r>
      <rPr>
        <vertAlign val="superscript"/>
        <sz val="5"/>
        <color rgb="FF000000"/>
        <rFont val="Arial"/>
        <family val="2"/>
      </rPr>
      <t>(9)</t>
    </r>
  </si>
  <si>
    <r>
      <rPr>
        <sz val="7"/>
        <color rgb="FF000000"/>
        <rFont val="Arial"/>
        <family val="2"/>
      </rPr>
      <t>D7-D0</t>
    </r>
    <r>
      <rPr>
        <vertAlign val="superscript"/>
        <sz val="5"/>
        <color rgb="FF000000"/>
        <rFont val="Arial"/>
        <family val="2"/>
      </rPr>
      <t>(3)</t>
    </r>
  </si>
  <si>
    <r>
      <rPr>
        <sz val="7"/>
        <color rgb="FF000000"/>
        <rFont val="Arial"/>
        <family val="2"/>
      </rPr>
      <t>Sector Erase (4KB)</t>
    </r>
  </si>
  <si>
    <r>
      <rPr>
        <b/>
        <sz val="7"/>
        <color rgb="FF000000"/>
        <rFont val="Arial"/>
        <family val="2"/>
      </rPr>
      <t>20h</t>
    </r>
  </si>
  <si>
    <r>
      <rPr>
        <sz val="7"/>
        <color rgb="FF000000"/>
        <rFont val="Arial"/>
        <family val="2"/>
      </rPr>
      <t>Block Erase (32KB)</t>
    </r>
  </si>
  <si>
    <r>
      <rPr>
        <b/>
        <sz val="7"/>
        <color rgb="FF000000"/>
        <rFont val="Arial"/>
        <family val="2"/>
      </rPr>
      <t>52h</t>
    </r>
  </si>
  <si>
    <r>
      <rPr>
        <sz val="7"/>
        <color rgb="FF000000"/>
        <rFont val="Arial"/>
        <family val="2"/>
      </rPr>
      <t>Block Erase (64KB)</t>
    </r>
  </si>
  <si>
    <r>
      <rPr>
        <b/>
        <sz val="7"/>
        <color rgb="FF000000"/>
        <rFont val="Arial"/>
        <family val="2"/>
      </rPr>
      <t>D8h</t>
    </r>
  </si>
  <si>
    <r>
      <rPr>
        <sz val="7"/>
        <color rgb="FF000000"/>
        <rFont val="Arial"/>
        <family val="2"/>
      </rPr>
      <t>Chip Erase</t>
    </r>
  </si>
  <si>
    <r>
      <rPr>
        <b/>
        <sz val="7"/>
        <color rgb="FF000000"/>
        <rFont val="Arial"/>
        <family val="2"/>
      </rPr>
      <t>C7h/60h</t>
    </r>
  </si>
  <si>
    <r>
      <rPr>
        <sz val="7"/>
        <color rgb="FF000000"/>
        <rFont val="Arial"/>
        <family val="2"/>
      </rPr>
      <t>Read Status Register-1</t>
    </r>
  </si>
  <si>
    <r>
      <rPr>
        <b/>
        <sz val="7"/>
        <color rgb="FF000000"/>
        <rFont val="Arial"/>
        <family val="2"/>
      </rPr>
      <t>05h</t>
    </r>
  </si>
  <si>
    <r>
      <rPr>
        <sz val="7"/>
        <color rgb="FF000000"/>
        <rFont val="Arial"/>
        <family val="2"/>
      </rPr>
      <t>(S7-S0)</t>
    </r>
    <r>
      <rPr>
        <vertAlign val="superscript"/>
        <sz val="5"/>
        <color rgb="FF000000"/>
        <rFont val="Arial"/>
        <family val="2"/>
      </rPr>
      <t>(2)</t>
    </r>
  </si>
  <si>
    <r>
      <rPr>
        <sz val="7"/>
        <color rgb="FF000000"/>
        <rFont val="Arial"/>
        <family val="2"/>
      </rPr>
      <t>Write Status Register-1</t>
    </r>
  </si>
  <si>
    <r>
      <rPr>
        <b/>
        <sz val="7"/>
        <color rgb="FF000000"/>
        <rFont val="Arial"/>
        <family val="2"/>
      </rPr>
      <t>01h</t>
    </r>
  </si>
  <si>
    <r>
      <rPr>
        <sz val="7"/>
        <color rgb="FF000000"/>
        <rFont val="Arial"/>
        <family val="2"/>
      </rPr>
      <t>(S7-S0)</t>
    </r>
  </si>
  <si>
    <r>
      <rPr>
        <sz val="7"/>
        <color rgb="FF000000"/>
        <rFont val="Arial"/>
        <family val="2"/>
      </rPr>
      <t>Read Status Register-2</t>
    </r>
  </si>
  <si>
    <r>
      <rPr>
        <b/>
        <sz val="7"/>
        <color rgb="FF000000"/>
        <rFont val="Arial"/>
        <family val="2"/>
      </rPr>
      <t>35h</t>
    </r>
  </si>
  <si>
    <r>
      <rPr>
        <sz val="7"/>
        <color rgb="FF000000"/>
        <rFont val="Arial"/>
        <family val="2"/>
      </rPr>
      <t>(S15-S8)</t>
    </r>
    <r>
      <rPr>
        <vertAlign val="superscript"/>
        <sz val="5"/>
        <color rgb="FF000000"/>
        <rFont val="Arial"/>
        <family val="2"/>
      </rPr>
      <t>(2)</t>
    </r>
  </si>
  <si>
    <r>
      <rPr>
        <sz val="7"/>
        <color rgb="FF000000"/>
        <rFont val="Arial"/>
        <family val="2"/>
      </rPr>
      <t>Write Status Register-2</t>
    </r>
  </si>
  <si>
    <r>
      <rPr>
        <b/>
        <sz val="7"/>
        <color rgb="FF000000"/>
        <rFont val="Arial"/>
        <family val="2"/>
      </rPr>
      <t>31h</t>
    </r>
  </si>
  <si>
    <r>
      <rPr>
        <sz val="7"/>
        <color rgb="FF000000"/>
        <rFont val="Arial"/>
        <family val="2"/>
      </rPr>
      <t>(S15-S8)</t>
    </r>
  </si>
  <si>
    <r>
      <rPr>
        <sz val="7"/>
        <color rgb="FF000000"/>
        <rFont val="Arial"/>
        <family val="2"/>
      </rPr>
      <t>Read Status Register-3</t>
    </r>
  </si>
  <si>
    <r>
      <rPr>
        <b/>
        <sz val="7"/>
        <color rgb="FF000000"/>
        <rFont val="Arial"/>
        <family val="2"/>
      </rPr>
      <t>15h</t>
    </r>
  </si>
  <si>
    <r>
      <rPr>
        <sz val="7"/>
        <color rgb="FF000000"/>
        <rFont val="Arial"/>
        <family val="2"/>
      </rPr>
      <t>(S23-S16)</t>
    </r>
    <r>
      <rPr>
        <vertAlign val="superscript"/>
        <sz val="5"/>
        <color rgb="FF000000"/>
        <rFont val="Arial"/>
        <family val="2"/>
      </rPr>
      <t>(2)</t>
    </r>
  </si>
  <si>
    <r>
      <rPr>
        <sz val="7"/>
        <color rgb="FF000000"/>
        <rFont val="Arial"/>
        <family val="2"/>
      </rPr>
      <t>Write Status Register-3</t>
    </r>
  </si>
  <si>
    <r>
      <rPr>
        <b/>
        <sz val="7"/>
        <color rgb="FF000000"/>
        <rFont val="Arial"/>
        <family val="2"/>
      </rPr>
      <t>11h</t>
    </r>
  </si>
  <si>
    <r>
      <rPr>
        <sz val="7"/>
        <color rgb="FF000000"/>
        <rFont val="Arial"/>
        <family val="2"/>
      </rPr>
      <t>(S23-S16)</t>
    </r>
  </si>
  <si>
    <r>
      <rPr>
        <sz val="7"/>
        <color rgb="FF000000"/>
        <rFont val="Arial"/>
        <family val="2"/>
      </rPr>
      <t>Power-down</t>
    </r>
  </si>
  <si>
    <r>
      <rPr>
        <b/>
        <sz val="7"/>
        <color rgb="FF000000"/>
        <rFont val="Arial"/>
        <family val="2"/>
      </rPr>
      <t>B9h</t>
    </r>
  </si>
  <si>
    <r>
      <rPr>
        <sz val="7"/>
        <color rgb="FF000000"/>
        <rFont val="Arial"/>
        <family val="2"/>
      </rPr>
      <t>Enable Reset</t>
    </r>
  </si>
  <si>
    <r>
      <rPr>
        <b/>
        <sz val="7"/>
        <color rgb="FF000000"/>
        <rFont val="Arial"/>
        <family val="2"/>
      </rPr>
      <t>66h</t>
    </r>
  </si>
  <si>
    <r>
      <rPr>
        <sz val="7"/>
        <color rgb="FF000000"/>
        <rFont val="Arial"/>
        <family val="2"/>
      </rPr>
      <t>Reset Device</t>
    </r>
  </si>
  <si>
    <r>
      <rPr>
        <b/>
        <sz val="7"/>
        <color rgb="FF000000"/>
        <rFont val="Arial"/>
        <family val="2"/>
      </rPr>
      <t>99h</t>
    </r>
  </si>
  <si>
    <r>
      <rPr>
        <sz val="7"/>
        <color rgb="FF000000"/>
        <rFont val="Arial"/>
        <family val="2"/>
      </rPr>
      <t>Exit QPI Mode</t>
    </r>
  </si>
  <si>
    <r>
      <rPr>
        <b/>
        <sz val="7"/>
        <color rgb="FF000000"/>
        <rFont val="Arial"/>
        <family val="2"/>
      </rPr>
      <t>FFh</t>
    </r>
  </si>
  <si>
    <r>
      <rPr>
        <sz val="7"/>
        <color rgb="FF000000"/>
        <rFont val="Arial"/>
        <family val="2"/>
      </rPr>
      <t>Fast Read</t>
    </r>
  </si>
  <si>
    <r>
      <rPr>
        <b/>
        <sz val="7"/>
        <color rgb="FF000000"/>
        <rFont val="Arial"/>
        <family val="2"/>
      </rPr>
      <t>0Bh</t>
    </r>
  </si>
  <si>
    <r>
      <rPr>
        <sz val="7"/>
        <color rgb="FF000000"/>
        <rFont val="Arial"/>
        <family val="2"/>
      </rPr>
      <t>Burst Read with Wrap</t>
    </r>
  </si>
  <si>
    <r>
      <rPr>
        <b/>
        <sz val="7"/>
        <color rgb="FF000000"/>
        <rFont val="Arial"/>
        <family val="2"/>
      </rPr>
      <t>0Ch</t>
    </r>
  </si>
  <si>
    <r>
      <t>Instruction Set Table 2 (Dual/Quad SPI Instructions)</t>
    </r>
    <r>
      <rPr>
        <b/>
        <vertAlign val="superscript"/>
        <sz val="7"/>
        <color rgb="FF000000"/>
        <rFont val="Arial"/>
        <family val="2"/>
      </rPr>
      <t xml:space="preserve"> (1)</t>
    </r>
  </si>
  <si>
    <t>C7h</t>
  </si>
  <si>
    <t>60h</t>
  </si>
  <si>
    <t>D8h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</si>
</sst>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"/>
  </numFmts>
  <fonts count="16" x14ac:knownFonts="1"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Times New Roman"/>
      <family val="1"/>
    </font>
    <font>
      <b/>
      <sz val="4.5"/>
      <color rgb="FF000000"/>
      <name val="Arial"/>
      <family val="2"/>
    </font>
    <font>
      <sz val="4.5"/>
      <color rgb="FF000000"/>
      <name val="Times New Roman"/>
      <family val="1"/>
    </font>
    <font>
      <sz val="7"/>
      <color rgb="FF000000"/>
      <name val="Arial"/>
      <family val="2"/>
    </font>
    <font>
      <sz val="7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4.5"/>
      <color rgb="FF000000"/>
      <name val="Arial"/>
      <family val="2"/>
    </font>
    <font>
      <sz val="4.5"/>
      <color theme="1"/>
      <name val="Times New Roman"/>
      <family val="1"/>
    </font>
    <font>
      <b/>
      <sz val="11"/>
      <color rgb="FF000000"/>
      <name val="Arial"/>
      <family val="2"/>
    </font>
    <font>
      <b/>
      <vertAlign val="superscript"/>
      <sz val="7"/>
      <color rgb="FF000000"/>
      <name val="Arial"/>
      <family val="2"/>
    </font>
    <font>
      <b/>
      <sz val="18"/>
      <color rgb="FF000000"/>
      <name val="Times New Roman"/>
      <family val="1"/>
    </font>
    <font>
      <sz val="5"/>
      <color rgb="FF000000"/>
      <name val="Arial"/>
      <family val="2"/>
    </font>
    <font>
      <vertAlign val="superscript"/>
      <sz val="5"/>
      <color rgb="FF000000"/>
      <name val="Arial"/>
      <family val="2"/>
    </font>
    <font>
      <b/>
      <sz val="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DADADA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3"/>
    </xf>
    <xf numFmtId="0" fontId="5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 indent="1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0" fillId="0" borderId="0" xfId="0" applyFont="1" applyAlignment="1">
      <alignment horizontal="left" vertical="center" indent="2" shrinkToFit="1" readingOrder="1"/>
    </xf>
    <xf numFmtId="0" fontId="12" fillId="0" borderId="0" xfId="0" applyFont="1" applyAlignment="1">
      <alignment horizontal="left" vertical="center" indent="4" shrinkToFit="1" readingOrder="1"/>
    </xf>
    <xf numFmtId="0" fontId="1" fillId="3" borderId="7" xfId="0" applyFont="1" applyFill="1" applyBorder="1" applyAlignment="1">
      <alignment horizontal="left" vertical="center" shrinkToFit="1" readingOrder="1"/>
    </xf>
    <xf numFmtId="0" fontId="1" fillId="3" borderId="7" xfId="0" applyFont="1" applyFill="1" applyBorder="1" applyAlignment="1">
      <alignment horizontal="left" vertical="center" indent="1" shrinkToFit="1" readingOrder="1"/>
    </xf>
    <xf numFmtId="0" fontId="1" fillId="3" borderId="7" xfId="0" applyFont="1" applyFill="1" applyBorder="1" applyAlignment="1">
      <alignment horizontal="right" vertical="center" shrinkToFit="1" readingOrder="1"/>
    </xf>
    <xf numFmtId="0" fontId="5" fillId="0" borderId="7" xfId="0" applyFont="1" applyBorder="1" applyAlignment="1">
      <alignment horizontal="left" vertical="center" shrinkToFit="1" readingOrder="1"/>
    </xf>
    <xf numFmtId="0" fontId="1" fillId="0" borderId="7" xfId="0" applyFont="1" applyBorder="1" applyAlignment="1">
      <alignment horizontal="left" vertical="center" indent="1" shrinkToFit="1" readingOrder="1"/>
    </xf>
    <xf numFmtId="0" fontId="5" fillId="0" borderId="7" xfId="0" applyFont="1" applyBorder="1" applyAlignment="1">
      <alignment horizontal="left" vertical="center" indent="1" shrinkToFit="1" readingOrder="1"/>
    </xf>
    <xf numFmtId="0" fontId="5" fillId="0" borderId="8" xfId="0" applyFont="1" applyBorder="1" applyAlignment="1">
      <alignment horizontal="left" vertical="center" shrinkToFit="1" readingOrder="1"/>
    </xf>
    <xf numFmtId="0" fontId="0" fillId="0" borderId="9" xfId="0" applyBorder="1" applyAlignment="1">
      <alignment horizontal="left" vertical="center" wrapText="1" shrinkToFit="1" readingOrder="1"/>
    </xf>
    <xf numFmtId="0" fontId="1" fillId="3" borderId="7" xfId="0" applyFont="1" applyFill="1" applyBorder="1" applyAlignment="1">
      <alignment vertical="center" shrinkToFit="1" readingOrder="1"/>
    </xf>
    <xf numFmtId="0" fontId="1" fillId="3" borderId="10" xfId="0" applyFont="1" applyFill="1" applyBorder="1" applyAlignment="1">
      <alignment horizontal="right" vertical="center" shrinkToFit="1" readingOrder="1"/>
    </xf>
    <xf numFmtId="0" fontId="0" fillId="0" borderId="11" xfId="0" applyBorder="1" applyAlignment="1">
      <alignment horizontal="left" vertical="center" wrapText="1" shrinkToFit="1" readingOrder="1"/>
    </xf>
    <xf numFmtId="0" fontId="5" fillId="0" borderId="7" xfId="0" applyFont="1" applyBorder="1" applyAlignment="1">
      <alignment vertical="center" shrinkToFit="1" readingOrder="1"/>
    </xf>
    <xf numFmtId="0" fontId="1" fillId="0" borderId="7" xfId="0" applyFont="1" applyBorder="1" applyAlignment="1">
      <alignment vertical="center" shrinkToFit="1" readingOrder="1"/>
    </xf>
    <xf numFmtId="0" fontId="5" fillId="0" borderId="10" xfId="0" applyFont="1" applyBorder="1" applyAlignment="1">
      <alignment horizontal="left" vertical="center" shrinkToFit="1" readingOrder="1"/>
    </xf>
    <xf numFmtId="0" fontId="0" fillId="0" borderId="12" xfId="0" applyBorder="1" applyAlignment="1">
      <alignment horizontal="left" vertical="center" wrapText="1" shrinkToFit="1" readingOrder="1"/>
    </xf>
    <xf numFmtId="0" fontId="0" fillId="0" borderId="13" xfId="0" applyBorder="1" applyAlignment="1">
      <alignment horizontal="left" vertical="center" wrapText="1" shrinkToFit="1" readingOrder="1"/>
    </xf>
    <xf numFmtId="0" fontId="1" fillId="3" borderId="7" xfId="0" applyFont="1" applyFill="1" applyBorder="1" applyAlignment="1">
      <alignment horizontal="left" vertical="center" indent="2" shrinkToFit="1" readingOrder="1"/>
    </xf>
    <xf numFmtId="168" fontId="5" fillId="0" borderId="7" xfId="0" applyNumberFormat="1" applyFont="1" applyBorder="1" applyAlignment="1">
      <alignment horizontal="right" vertical="center" shrinkToFit="1" readingOrder="1"/>
    </xf>
    <xf numFmtId="0" fontId="5" fillId="0" borderId="7" xfId="0" applyFont="1" applyBorder="1" applyAlignment="1">
      <alignment horizontal="left" vertical="center" indent="2" shrinkToFit="1" readingOrder="1"/>
    </xf>
    <xf numFmtId="0" fontId="0" fillId="0" borderId="8" xfId="0" applyBorder="1" applyAlignment="1">
      <alignment horizontal="left" vertical="center" wrapText="1" shrinkToFit="1" readingOrder="1"/>
    </xf>
    <xf numFmtId="0" fontId="10" fillId="0" borderId="0" xfId="0" applyFont="1" applyAlignment="1">
      <alignment vertical="center" readingOrder="1"/>
    </xf>
    <xf numFmtId="0" fontId="10" fillId="0" borderId="0" xfId="0" applyFont="1" applyAlignment="1">
      <alignment vertical="center" shrinkToFit="1" readingOrder="1"/>
    </xf>
    <xf numFmtId="0" fontId="12" fillId="0" borderId="0" xfId="0" applyFont="1" applyAlignment="1">
      <alignment vertical="center" readingOrder="1"/>
    </xf>
    <xf numFmtId="0" fontId="12" fillId="0" borderId="0" xfId="0" applyFont="1" applyAlignment="1">
      <alignment vertical="center" shrinkToFit="1" readingOrder="1"/>
    </xf>
    <xf numFmtId="0" fontId="0" fillId="0" borderId="7" xfId="0" applyBorder="1" applyAlignment="1">
      <alignment horizontal="left" vertical="center" wrapText="1" shrinkToFit="1" readingOrder="1"/>
    </xf>
    <xf numFmtId="0" fontId="1" fillId="0" borderId="7" xfId="0" applyFont="1" applyBorder="1" applyAlignment="1">
      <alignment horizontal="left" vertical="center" shrinkToFit="1" readingOrder="1"/>
    </xf>
    <xf numFmtId="0" fontId="10" fillId="0" borderId="0" xfId="0" applyFont="1" applyAlignment="1">
      <alignment horizontal="left" vertical="top" shrinkToFit="1" readingOrder="1"/>
    </xf>
    <xf numFmtId="0" fontId="10" fillId="0" borderId="14" xfId="0" applyFont="1" applyBorder="1" applyAlignment="1">
      <alignment horizontal="left" vertical="top" readingOrder="1"/>
    </xf>
    <xf numFmtId="0" fontId="12" fillId="0" borderId="14" xfId="0" applyFont="1" applyBorder="1" applyAlignment="1">
      <alignment horizontal="right" vertical="top" readingOrder="1"/>
    </xf>
    <xf numFmtId="0" fontId="5" fillId="0" borderId="5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righ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190500</xdr:rowOff>
    </xdr:from>
    <xdr:to>
      <xdr:col>0</xdr:col>
      <xdr:colOff>27305</xdr:colOff>
      <xdr:row>2</xdr:row>
      <xdr:rowOff>19050</xdr:rowOff>
    </xdr:to>
    <xdr:grpSp>
      <xdr:nvGrpSpPr>
        <xdr:cNvPr id="12" name="Freeform 103">
          <a:extLst>
            <a:ext uri="{FF2B5EF4-FFF2-40B4-BE49-F238E27FC236}">
              <a16:creationId xmlns:a16="http://schemas.microsoft.com/office/drawing/2014/main" id="{4B1FD6CB-1D23-FDED-1C57-561F187592F6}"/>
            </a:ext>
          </a:extLst>
        </xdr:cNvPr>
        <xdr:cNvGrpSpPr/>
      </xdr:nvGrpSpPr>
      <xdr:grpSpPr>
        <a:xfrm>
          <a:off x="0" y="381000"/>
          <a:ext cx="27305" cy="27333"/>
          <a:chOff x="0" y="0"/>
          <a:chExt cx="27432" cy="28956"/>
        </a:xfrm>
      </xdr:grpSpPr>
      <xdr:sp macro="" textlink="">
        <xdr:nvSpPr>
          <xdr:cNvPr id="13" name="Freihandform: Form 12">
            <a:extLst>
              <a:ext uri="{FF2B5EF4-FFF2-40B4-BE49-F238E27FC236}">
                <a16:creationId xmlns:a16="http://schemas.microsoft.com/office/drawing/2014/main" id="{80704D2B-291D-44E3-CEDC-03D28636FC6A}"/>
              </a:ext>
            </a:extLst>
          </xdr:cNvPr>
          <xdr:cNvSpPr/>
        </xdr:nvSpPr>
        <xdr:spPr>
          <a:xfrm>
            <a:off x="0" y="0"/>
            <a:ext cx="9144" cy="28956"/>
          </a:xfrm>
          <a:custGeom>
            <a:avLst/>
            <a:gdLst/>
            <a:ahLst/>
            <a:cxnLst/>
            <a:rect l="l" t="t" r="r" b="b"/>
            <a:pathLst>
              <a:path w="9144" h="28956">
                <a:moveTo>
                  <a:pt x="0" y="28956"/>
                </a:moveTo>
                <a:lnTo>
                  <a:pt x="9144" y="28956"/>
                </a:lnTo>
                <a:lnTo>
                  <a:pt x="9144" y="0"/>
                </a:lnTo>
                <a:lnTo>
                  <a:pt x="0" y="0"/>
                </a:lnTo>
                <a:lnTo>
                  <a:pt x="0" y="28956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4" name="Freihandform: Form 13">
            <a:extLst>
              <a:ext uri="{FF2B5EF4-FFF2-40B4-BE49-F238E27FC236}">
                <a16:creationId xmlns:a16="http://schemas.microsoft.com/office/drawing/2014/main" id="{B3BE56D5-5E36-A3EE-7BD4-165DC6A10F9C}"/>
              </a:ext>
            </a:extLst>
          </xdr:cNvPr>
          <xdr:cNvSpPr/>
        </xdr:nvSpPr>
        <xdr:spPr>
          <a:xfrm>
            <a:off x="0" y="0"/>
            <a:ext cx="27432" cy="9144"/>
          </a:xfrm>
          <a:custGeom>
            <a:avLst/>
            <a:gdLst/>
            <a:ahLst/>
            <a:cxnLst/>
            <a:rect l="l" t="t" r="r" b="b"/>
            <a:pathLst>
              <a:path w="27432" h="9144">
                <a:moveTo>
                  <a:pt x="0" y="9144"/>
                </a:moveTo>
                <a:lnTo>
                  <a:pt x="27432" y="9144"/>
                </a:lnTo>
                <a:lnTo>
                  <a:pt x="27432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5" name="Freihandform: Form 14">
            <a:extLst>
              <a:ext uri="{FF2B5EF4-FFF2-40B4-BE49-F238E27FC236}">
                <a16:creationId xmlns:a16="http://schemas.microsoft.com/office/drawing/2014/main" id="{4E6BDC37-184A-05EC-8785-DE959882796D}"/>
              </a:ext>
            </a:extLst>
          </xdr:cNvPr>
          <xdr:cNvSpPr/>
        </xdr:nvSpPr>
        <xdr:spPr>
          <a:xfrm>
            <a:off x="18288" y="18288"/>
            <a:ext cx="9144" cy="10668"/>
          </a:xfrm>
          <a:custGeom>
            <a:avLst/>
            <a:gdLst/>
            <a:ahLst/>
            <a:cxnLst/>
            <a:rect l="l" t="t" r="r" b="b"/>
            <a:pathLst>
              <a:path w="9144" h="10668">
                <a:moveTo>
                  <a:pt x="0" y="10668"/>
                </a:moveTo>
                <a:lnTo>
                  <a:pt x="9144" y="10668"/>
                </a:lnTo>
                <a:lnTo>
                  <a:pt x="9144" y="0"/>
                </a:lnTo>
                <a:lnTo>
                  <a:pt x="0" y="0"/>
                </a:lnTo>
                <a:lnTo>
                  <a:pt x="0" y="10668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6" name="Freihandform: Form 15">
            <a:extLst>
              <a:ext uri="{FF2B5EF4-FFF2-40B4-BE49-F238E27FC236}">
                <a16:creationId xmlns:a16="http://schemas.microsoft.com/office/drawing/2014/main" id="{56622186-7E0C-A0F0-6E3D-250E86A8037A}"/>
              </a:ext>
            </a:extLst>
          </xdr:cNvPr>
          <xdr:cNvSpPr/>
        </xdr:nvSpPr>
        <xdr:spPr>
          <a:xfrm>
            <a:off x="18288" y="18288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2</xdr:row>
      <xdr:rowOff>219075</xdr:rowOff>
    </xdr:from>
    <xdr:to>
      <xdr:col>0</xdr:col>
      <xdr:colOff>27305</xdr:colOff>
      <xdr:row>2</xdr:row>
      <xdr:rowOff>227965</xdr:rowOff>
    </xdr:to>
    <xdr:grpSp>
      <xdr:nvGrpSpPr>
        <xdr:cNvPr id="53" name="Freeform 117">
          <a:extLst>
            <a:ext uri="{FF2B5EF4-FFF2-40B4-BE49-F238E27FC236}">
              <a16:creationId xmlns:a16="http://schemas.microsoft.com/office/drawing/2014/main" id="{42806DC2-654E-32B0-3454-D205A4ADAA1A}"/>
            </a:ext>
          </a:extLst>
        </xdr:cNvPr>
        <xdr:cNvGrpSpPr/>
      </xdr:nvGrpSpPr>
      <xdr:grpSpPr>
        <a:xfrm>
          <a:off x="0" y="589308"/>
          <a:ext cx="27305" cy="0"/>
          <a:chOff x="0" y="0"/>
          <a:chExt cx="27432" cy="9144"/>
        </a:xfrm>
      </xdr:grpSpPr>
      <xdr:sp macro="" textlink="">
        <xdr:nvSpPr>
          <xdr:cNvPr id="54" name="Freihandform: Form 53">
            <a:extLst>
              <a:ext uri="{FF2B5EF4-FFF2-40B4-BE49-F238E27FC236}">
                <a16:creationId xmlns:a16="http://schemas.microsoft.com/office/drawing/2014/main" id="{16117330-D950-C907-9F91-B09AD1A015FE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55" name="Freihandform: Form 54">
            <a:extLst>
              <a:ext uri="{FF2B5EF4-FFF2-40B4-BE49-F238E27FC236}">
                <a16:creationId xmlns:a16="http://schemas.microsoft.com/office/drawing/2014/main" id="{F92BE976-A115-CF7B-AA30-90FC5004E952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619125</xdr:colOff>
      <xdr:row>2</xdr:row>
      <xdr:rowOff>219075</xdr:rowOff>
    </xdr:from>
    <xdr:to>
      <xdr:col>0</xdr:col>
      <xdr:colOff>628015</xdr:colOff>
      <xdr:row>2</xdr:row>
      <xdr:rowOff>227965</xdr:rowOff>
    </xdr:to>
    <xdr:sp macro="" textlink="">
      <xdr:nvSpPr>
        <xdr:cNvPr id="56" name="Freeform 119">
          <a:extLst>
            <a:ext uri="{FF2B5EF4-FFF2-40B4-BE49-F238E27FC236}">
              <a16:creationId xmlns:a16="http://schemas.microsoft.com/office/drawing/2014/main" id="{ADBF7592-3515-8DF8-25FA-71B4BAD39929}"/>
            </a:ext>
          </a:extLst>
        </xdr:cNvPr>
        <xdr:cNvSpPr/>
      </xdr:nvSpPr>
      <xdr:spPr>
        <a:xfrm>
          <a:off x="6793865" y="154813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3</xdr:row>
      <xdr:rowOff>219075</xdr:rowOff>
    </xdr:from>
    <xdr:to>
      <xdr:col>0</xdr:col>
      <xdr:colOff>27305</xdr:colOff>
      <xdr:row>3</xdr:row>
      <xdr:rowOff>227965</xdr:rowOff>
    </xdr:to>
    <xdr:grpSp>
      <xdr:nvGrpSpPr>
        <xdr:cNvPr id="57" name="Freeform 120">
          <a:extLst>
            <a:ext uri="{FF2B5EF4-FFF2-40B4-BE49-F238E27FC236}">
              <a16:creationId xmlns:a16="http://schemas.microsoft.com/office/drawing/2014/main" id="{2E49520F-7EE1-CEEA-EC14-0479069174C3}"/>
            </a:ext>
          </a:extLst>
        </xdr:cNvPr>
        <xdr:cNvGrpSpPr/>
      </xdr:nvGrpSpPr>
      <xdr:grpSpPr>
        <a:xfrm>
          <a:off x="0" y="788090"/>
          <a:ext cx="27305" cy="0"/>
          <a:chOff x="0" y="0"/>
          <a:chExt cx="27432" cy="9144"/>
        </a:xfrm>
      </xdr:grpSpPr>
      <xdr:sp macro="" textlink="">
        <xdr:nvSpPr>
          <xdr:cNvPr id="58" name="Freihandform: Form 57">
            <a:extLst>
              <a:ext uri="{FF2B5EF4-FFF2-40B4-BE49-F238E27FC236}">
                <a16:creationId xmlns:a16="http://schemas.microsoft.com/office/drawing/2014/main" id="{D6A24A04-E842-25A8-002F-A4C8645054D8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59" name="Freihandform: Form 58">
            <a:extLst>
              <a:ext uri="{FF2B5EF4-FFF2-40B4-BE49-F238E27FC236}">
                <a16:creationId xmlns:a16="http://schemas.microsoft.com/office/drawing/2014/main" id="{DED549FD-C9A4-E92C-5675-A5128B0498D6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4</xdr:row>
      <xdr:rowOff>190500</xdr:rowOff>
    </xdr:from>
    <xdr:to>
      <xdr:col>0</xdr:col>
      <xdr:colOff>27305</xdr:colOff>
      <xdr:row>4</xdr:row>
      <xdr:rowOff>199390</xdr:rowOff>
    </xdr:to>
    <xdr:grpSp>
      <xdr:nvGrpSpPr>
        <xdr:cNvPr id="60" name="Freeform 153">
          <a:extLst>
            <a:ext uri="{FF2B5EF4-FFF2-40B4-BE49-F238E27FC236}">
              <a16:creationId xmlns:a16="http://schemas.microsoft.com/office/drawing/2014/main" id="{D8E10FD7-11D9-E5DF-8732-3AFEACAA7A02}"/>
            </a:ext>
          </a:extLst>
        </xdr:cNvPr>
        <xdr:cNvGrpSpPr/>
      </xdr:nvGrpSpPr>
      <xdr:grpSpPr>
        <a:xfrm>
          <a:off x="0" y="977348"/>
          <a:ext cx="27305" cy="8890"/>
          <a:chOff x="0" y="0"/>
          <a:chExt cx="27432" cy="9144"/>
        </a:xfrm>
      </xdr:grpSpPr>
      <xdr:sp macro="" textlink="">
        <xdr:nvSpPr>
          <xdr:cNvPr id="61" name="Freihandform: Form 60">
            <a:extLst>
              <a:ext uri="{FF2B5EF4-FFF2-40B4-BE49-F238E27FC236}">
                <a16:creationId xmlns:a16="http://schemas.microsoft.com/office/drawing/2014/main" id="{215731B7-4EFF-BA4C-283B-055F1FD9B786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62" name="Freihandform: Form 61">
            <a:extLst>
              <a:ext uri="{FF2B5EF4-FFF2-40B4-BE49-F238E27FC236}">
                <a16:creationId xmlns:a16="http://schemas.microsoft.com/office/drawing/2014/main" id="{C0FF57C0-E959-96B4-7924-4E79A1EF237E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5</xdr:row>
      <xdr:rowOff>219075</xdr:rowOff>
    </xdr:from>
    <xdr:to>
      <xdr:col>0</xdr:col>
      <xdr:colOff>27305</xdr:colOff>
      <xdr:row>5</xdr:row>
      <xdr:rowOff>227965</xdr:rowOff>
    </xdr:to>
    <xdr:grpSp>
      <xdr:nvGrpSpPr>
        <xdr:cNvPr id="64" name="Freeform 156">
          <a:extLst>
            <a:ext uri="{FF2B5EF4-FFF2-40B4-BE49-F238E27FC236}">
              <a16:creationId xmlns:a16="http://schemas.microsoft.com/office/drawing/2014/main" id="{223BBBE2-E78D-87D9-2EDA-0BCCF368311F}"/>
            </a:ext>
          </a:extLst>
        </xdr:cNvPr>
        <xdr:cNvGrpSpPr/>
      </xdr:nvGrpSpPr>
      <xdr:grpSpPr>
        <a:xfrm>
          <a:off x="0" y="1203463"/>
          <a:ext cx="27305" cy="0"/>
          <a:chOff x="0" y="0"/>
          <a:chExt cx="27432" cy="9144"/>
        </a:xfrm>
      </xdr:grpSpPr>
      <xdr:sp macro="" textlink="">
        <xdr:nvSpPr>
          <xdr:cNvPr id="65" name="Freihandform: Form 64">
            <a:extLst>
              <a:ext uri="{FF2B5EF4-FFF2-40B4-BE49-F238E27FC236}">
                <a16:creationId xmlns:a16="http://schemas.microsoft.com/office/drawing/2014/main" id="{9275FD2D-D0DE-CEE4-A9CB-12247482D6FE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66" name="Freihandform: Form 65">
            <a:extLst>
              <a:ext uri="{FF2B5EF4-FFF2-40B4-BE49-F238E27FC236}">
                <a16:creationId xmlns:a16="http://schemas.microsoft.com/office/drawing/2014/main" id="{789973C5-9262-F00F-3B9C-C7E09703FFD5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6</xdr:row>
      <xdr:rowOff>190500</xdr:rowOff>
    </xdr:from>
    <xdr:to>
      <xdr:col>0</xdr:col>
      <xdr:colOff>27305</xdr:colOff>
      <xdr:row>6</xdr:row>
      <xdr:rowOff>199390</xdr:rowOff>
    </xdr:to>
    <xdr:grpSp>
      <xdr:nvGrpSpPr>
        <xdr:cNvPr id="68" name="Freeform 159">
          <a:extLst>
            <a:ext uri="{FF2B5EF4-FFF2-40B4-BE49-F238E27FC236}">
              <a16:creationId xmlns:a16="http://schemas.microsoft.com/office/drawing/2014/main" id="{DFB6951B-1A39-1B23-415F-FBF85576A7D3}"/>
            </a:ext>
          </a:extLst>
        </xdr:cNvPr>
        <xdr:cNvGrpSpPr/>
      </xdr:nvGrpSpPr>
      <xdr:grpSpPr>
        <a:xfrm>
          <a:off x="0" y="1391478"/>
          <a:ext cx="27305" cy="8890"/>
          <a:chOff x="0" y="0"/>
          <a:chExt cx="27432" cy="9144"/>
        </a:xfrm>
      </xdr:grpSpPr>
      <xdr:sp macro="" textlink="">
        <xdr:nvSpPr>
          <xdr:cNvPr id="69" name="Freihandform: Form 68">
            <a:extLst>
              <a:ext uri="{FF2B5EF4-FFF2-40B4-BE49-F238E27FC236}">
                <a16:creationId xmlns:a16="http://schemas.microsoft.com/office/drawing/2014/main" id="{EA530A4D-44E3-C9B5-3E84-6F5571CA512F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70" name="Freihandform: Form 69">
            <a:extLst>
              <a:ext uri="{FF2B5EF4-FFF2-40B4-BE49-F238E27FC236}">
                <a16:creationId xmlns:a16="http://schemas.microsoft.com/office/drawing/2014/main" id="{485CE137-1DB1-2D02-9A23-5B422A36040E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6</xdr:col>
      <xdr:colOff>638175</xdr:colOff>
      <xdr:row>9</xdr:row>
      <xdr:rowOff>142875</xdr:rowOff>
    </xdr:from>
    <xdr:to>
      <xdr:col>11</xdr:col>
      <xdr:colOff>247015</xdr:colOff>
      <xdr:row>17</xdr:row>
      <xdr:rowOff>10160</xdr:rowOff>
    </xdr:to>
    <xdr:grpSp>
      <xdr:nvGrpSpPr>
        <xdr:cNvPr id="71" name="Freeform 206">
          <a:extLst>
            <a:ext uri="{FF2B5EF4-FFF2-40B4-BE49-F238E27FC236}">
              <a16:creationId xmlns:a16="http://schemas.microsoft.com/office/drawing/2014/main" id="{B09C020C-E338-69DD-BEE1-34D0AA3819C9}"/>
            </a:ext>
          </a:extLst>
        </xdr:cNvPr>
        <xdr:cNvGrpSpPr/>
      </xdr:nvGrpSpPr>
      <xdr:grpSpPr>
        <a:xfrm>
          <a:off x="5781675" y="1965049"/>
          <a:ext cx="3418840" cy="1523807"/>
          <a:chOff x="0" y="0"/>
          <a:chExt cx="3418966" cy="1629536"/>
        </a:xfrm>
      </xdr:grpSpPr>
      <xdr:sp macro="" textlink="">
        <xdr:nvSpPr>
          <xdr:cNvPr id="72" name="Freihandform: Form 71">
            <a:extLst>
              <a:ext uri="{FF2B5EF4-FFF2-40B4-BE49-F238E27FC236}">
                <a16:creationId xmlns:a16="http://schemas.microsoft.com/office/drawing/2014/main" id="{CBF12AB2-9582-EDC7-6A36-28D091DD9345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73" name="Freihandform: Form 72">
            <a:extLst>
              <a:ext uri="{FF2B5EF4-FFF2-40B4-BE49-F238E27FC236}">
                <a16:creationId xmlns:a16="http://schemas.microsoft.com/office/drawing/2014/main" id="{81DDDA96-9B11-68C4-9F82-73086C07E626}"/>
              </a:ext>
            </a:extLst>
          </xdr:cNvPr>
          <xdr:cNvSpPr/>
        </xdr:nvSpPr>
        <xdr:spPr>
          <a:xfrm>
            <a:off x="683006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74" name="Freihandform: Form 73">
            <a:extLst>
              <a:ext uri="{FF2B5EF4-FFF2-40B4-BE49-F238E27FC236}">
                <a16:creationId xmlns:a16="http://schemas.microsoft.com/office/drawing/2014/main" id="{FA4DAC48-A052-4BD8-D169-3946D021706B}"/>
              </a:ext>
            </a:extLst>
          </xdr:cNvPr>
          <xdr:cNvSpPr/>
        </xdr:nvSpPr>
        <xdr:spPr>
          <a:xfrm>
            <a:off x="1367281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75" name="Freihandform: Form 74">
            <a:extLst>
              <a:ext uri="{FF2B5EF4-FFF2-40B4-BE49-F238E27FC236}">
                <a16:creationId xmlns:a16="http://schemas.microsoft.com/office/drawing/2014/main" id="{947F4305-E714-19EA-E803-00761E5964CD}"/>
              </a:ext>
            </a:extLst>
          </xdr:cNvPr>
          <xdr:cNvSpPr/>
        </xdr:nvSpPr>
        <xdr:spPr>
          <a:xfrm>
            <a:off x="0" y="161543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76" name="Freihandform: Form 75">
            <a:extLst>
              <a:ext uri="{FF2B5EF4-FFF2-40B4-BE49-F238E27FC236}">
                <a16:creationId xmlns:a16="http://schemas.microsoft.com/office/drawing/2014/main" id="{4B126CF9-2A5C-01E5-72E0-45B34352ECB9}"/>
              </a:ext>
            </a:extLst>
          </xdr:cNvPr>
          <xdr:cNvSpPr/>
        </xdr:nvSpPr>
        <xdr:spPr>
          <a:xfrm>
            <a:off x="683006" y="161543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77" name="Freihandform: Form 76">
            <a:extLst>
              <a:ext uri="{FF2B5EF4-FFF2-40B4-BE49-F238E27FC236}">
                <a16:creationId xmlns:a16="http://schemas.microsoft.com/office/drawing/2014/main" id="{1E34354E-8C79-1C52-2DB1-8E9867E73777}"/>
              </a:ext>
            </a:extLst>
          </xdr:cNvPr>
          <xdr:cNvSpPr/>
        </xdr:nvSpPr>
        <xdr:spPr>
          <a:xfrm>
            <a:off x="1367281" y="161543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78" name="Freihandform: Form 77">
            <a:extLst>
              <a:ext uri="{FF2B5EF4-FFF2-40B4-BE49-F238E27FC236}">
                <a16:creationId xmlns:a16="http://schemas.microsoft.com/office/drawing/2014/main" id="{83C75E8C-30C5-BEC4-58C8-674BFC697121}"/>
              </a:ext>
            </a:extLst>
          </xdr:cNvPr>
          <xdr:cNvSpPr/>
        </xdr:nvSpPr>
        <xdr:spPr>
          <a:xfrm>
            <a:off x="0" y="324611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79" name="Freihandform: Form 78">
            <a:extLst>
              <a:ext uri="{FF2B5EF4-FFF2-40B4-BE49-F238E27FC236}">
                <a16:creationId xmlns:a16="http://schemas.microsoft.com/office/drawing/2014/main" id="{1CFE8ABC-F6D8-37A1-DA70-3A3DC449E45A}"/>
              </a:ext>
            </a:extLst>
          </xdr:cNvPr>
          <xdr:cNvSpPr/>
        </xdr:nvSpPr>
        <xdr:spPr>
          <a:xfrm>
            <a:off x="683006" y="324611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0" name="Freihandform: Form 79">
            <a:extLst>
              <a:ext uri="{FF2B5EF4-FFF2-40B4-BE49-F238E27FC236}">
                <a16:creationId xmlns:a16="http://schemas.microsoft.com/office/drawing/2014/main" id="{D7C033A9-89D7-3231-1AD3-58C04B0F52B7}"/>
              </a:ext>
            </a:extLst>
          </xdr:cNvPr>
          <xdr:cNvSpPr/>
        </xdr:nvSpPr>
        <xdr:spPr>
          <a:xfrm>
            <a:off x="1367281" y="324611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1" name="Freihandform: Form 80">
            <a:extLst>
              <a:ext uri="{FF2B5EF4-FFF2-40B4-BE49-F238E27FC236}">
                <a16:creationId xmlns:a16="http://schemas.microsoft.com/office/drawing/2014/main" id="{E22DC690-266B-B47F-14AB-D701D9BF86F9}"/>
              </a:ext>
            </a:extLst>
          </xdr:cNvPr>
          <xdr:cNvSpPr/>
        </xdr:nvSpPr>
        <xdr:spPr>
          <a:xfrm>
            <a:off x="0" y="48615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2" name="Freihandform: Form 81">
            <a:extLst>
              <a:ext uri="{FF2B5EF4-FFF2-40B4-BE49-F238E27FC236}">
                <a16:creationId xmlns:a16="http://schemas.microsoft.com/office/drawing/2014/main" id="{E824BC0B-524F-FB5B-7A19-4E687109942F}"/>
              </a:ext>
            </a:extLst>
          </xdr:cNvPr>
          <xdr:cNvSpPr/>
        </xdr:nvSpPr>
        <xdr:spPr>
          <a:xfrm>
            <a:off x="683006" y="48615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3" name="Freihandform: Form 82">
            <a:extLst>
              <a:ext uri="{FF2B5EF4-FFF2-40B4-BE49-F238E27FC236}">
                <a16:creationId xmlns:a16="http://schemas.microsoft.com/office/drawing/2014/main" id="{F24FCDC8-0FF3-60B3-3AE9-33C6F50C3319}"/>
              </a:ext>
            </a:extLst>
          </xdr:cNvPr>
          <xdr:cNvSpPr/>
        </xdr:nvSpPr>
        <xdr:spPr>
          <a:xfrm>
            <a:off x="1367281" y="48615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4" name="Freihandform: Form 83">
            <a:extLst>
              <a:ext uri="{FF2B5EF4-FFF2-40B4-BE49-F238E27FC236}">
                <a16:creationId xmlns:a16="http://schemas.microsoft.com/office/drawing/2014/main" id="{E739EF3C-493F-FF36-12EF-F1C23AC5A243}"/>
              </a:ext>
            </a:extLst>
          </xdr:cNvPr>
          <xdr:cNvSpPr/>
        </xdr:nvSpPr>
        <xdr:spPr>
          <a:xfrm>
            <a:off x="0" y="64770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5" name="Freihandform: Form 84">
            <a:extLst>
              <a:ext uri="{FF2B5EF4-FFF2-40B4-BE49-F238E27FC236}">
                <a16:creationId xmlns:a16="http://schemas.microsoft.com/office/drawing/2014/main" id="{ECAC60E2-9D22-865F-24D2-A41F8DDE493D}"/>
              </a:ext>
            </a:extLst>
          </xdr:cNvPr>
          <xdr:cNvSpPr/>
        </xdr:nvSpPr>
        <xdr:spPr>
          <a:xfrm>
            <a:off x="683006" y="64770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6" name="Freihandform: Form 85">
            <a:extLst>
              <a:ext uri="{FF2B5EF4-FFF2-40B4-BE49-F238E27FC236}">
                <a16:creationId xmlns:a16="http://schemas.microsoft.com/office/drawing/2014/main" id="{81C75E04-7565-6E9E-AEC0-DA93572F4448}"/>
              </a:ext>
            </a:extLst>
          </xdr:cNvPr>
          <xdr:cNvSpPr/>
        </xdr:nvSpPr>
        <xdr:spPr>
          <a:xfrm>
            <a:off x="1367281" y="64770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7" name="Freihandform: Form 86">
            <a:extLst>
              <a:ext uri="{FF2B5EF4-FFF2-40B4-BE49-F238E27FC236}">
                <a16:creationId xmlns:a16="http://schemas.microsoft.com/office/drawing/2014/main" id="{1A523ADB-62F0-E833-C83D-E9DC71A82B98}"/>
              </a:ext>
            </a:extLst>
          </xdr:cNvPr>
          <xdr:cNvSpPr/>
        </xdr:nvSpPr>
        <xdr:spPr>
          <a:xfrm>
            <a:off x="0" y="80962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8" name="Freihandform: Form 87">
            <a:extLst>
              <a:ext uri="{FF2B5EF4-FFF2-40B4-BE49-F238E27FC236}">
                <a16:creationId xmlns:a16="http://schemas.microsoft.com/office/drawing/2014/main" id="{2E74D3A2-13D2-0CA8-5EAC-5F3CE428D44E}"/>
              </a:ext>
            </a:extLst>
          </xdr:cNvPr>
          <xdr:cNvSpPr/>
        </xdr:nvSpPr>
        <xdr:spPr>
          <a:xfrm>
            <a:off x="683006" y="80962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89" name="Freihandform: Form 88">
            <a:extLst>
              <a:ext uri="{FF2B5EF4-FFF2-40B4-BE49-F238E27FC236}">
                <a16:creationId xmlns:a16="http://schemas.microsoft.com/office/drawing/2014/main" id="{3D122D30-19C8-D2F6-C7BF-B8CE48BAFE93}"/>
              </a:ext>
            </a:extLst>
          </xdr:cNvPr>
          <xdr:cNvSpPr/>
        </xdr:nvSpPr>
        <xdr:spPr>
          <a:xfrm>
            <a:off x="1367281" y="80962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0" name="Freihandform: Form 89">
            <a:extLst>
              <a:ext uri="{FF2B5EF4-FFF2-40B4-BE49-F238E27FC236}">
                <a16:creationId xmlns:a16="http://schemas.microsoft.com/office/drawing/2014/main" id="{FF5B378E-2D63-C1C2-BDB1-7F97386986A9}"/>
              </a:ext>
            </a:extLst>
          </xdr:cNvPr>
          <xdr:cNvSpPr/>
        </xdr:nvSpPr>
        <xdr:spPr>
          <a:xfrm>
            <a:off x="0" y="972693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1" name="Freihandform: Form 90">
            <a:extLst>
              <a:ext uri="{FF2B5EF4-FFF2-40B4-BE49-F238E27FC236}">
                <a16:creationId xmlns:a16="http://schemas.microsoft.com/office/drawing/2014/main" id="{B7F03D73-2522-DF89-EA4C-54E8CB6B3FAC}"/>
              </a:ext>
            </a:extLst>
          </xdr:cNvPr>
          <xdr:cNvSpPr/>
        </xdr:nvSpPr>
        <xdr:spPr>
          <a:xfrm>
            <a:off x="683006" y="972693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2" name="Freihandform: Form 91">
            <a:extLst>
              <a:ext uri="{FF2B5EF4-FFF2-40B4-BE49-F238E27FC236}">
                <a16:creationId xmlns:a16="http://schemas.microsoft.com/office/drawing/2014/main" id="{18B00C3E-15BC-8C86-F58A-CE6A563F8994}"/>
              </a:ext>
            </a:extLst>
          </xdr:cNvPr>
          <xdr:cNvSpPr/>
        </xdr:nvSpPr>
        <xdr:spPr>
          <a:xfrm>
            <a:off x="1367281" y="972693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3" name="Freihandform: Form 92">
            <a:extLst>
              <a:ext uri="{FF2B5EF4-FFF2-40B4-BE49-F238E27FC236}">
                <a16:creationId xmlns:a16="http://schemas.microsoft.com/office/drawing/2014/main" id="{A38BE5F9-C620-D159-9FD9-79C689CADAC0}"/>
              </a:ext>
            </a:extLst>
          </xdr:cNvPr>
          <xdr:cNvSpPr/>
        </xdr:nvSpPr>
        <xdr:spPr>
          <a:xfrm>
            <a:off x="0" y="1134236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4" name="Freihandform: Form 93">
            <a:extLst>
              <a:ext uri="{FF2B5EF4-FFF2-40B4-BE49-F238E27FC236}">
                <a16:creationId xmlns:a16="http://schemas.microsoft.com/office/drawing/2014/main" id="{0A3E7A44-B064-CE43-CA5B-79F97D8C62D5}"/>
              </a:ext>
            </a:extLst>
          </xdr:cNvPr>
          <xdr:cNvSpPr/>
        </xdr:nvSpPr>
        <xdr:spPr>
          <a:xfrm>
            <a:off x="683006" y="1134236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5" name="Freihandform: Form 94">
            <a:extLst>
              <a:ext uri="{FF2B5EF4-FFF2-40B4-BE49-F238E27FC236}">
                <a16:creationId xmlns:a16="http://schemas.microsoft.com/office/drawing/2014/main" id="{6CD88604-0A13-E446-3A9E-35C385580C18}"/>
              </a:ext>
            </a:extLst>
          </xdr:cNvPr>
          <xdr:cNvSpPr/>
        </xdr:nvSpPr>
        <xdr:spPr>
          <a:xfrm>
            <a:off x="1367281" y="1134236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6" name="Freihandform: Form 95">
            <a:extLst>
              <a:ext uri="{FF2B5EF4-FFF2-40B4-BE49-F238E27FC236}">
                <a16:creationId xmlns:a16="http://schemas.microsoft.com/office/drawing/2014/main" id="{10FB6DB0-1B66-7E4E-F647-A959F8188914}"/>
              </a:ext>
            </a:extLst>
          </xdr:cNvPr>
          <xdr:cNvSpPr/>
        </xdr:nvSpPr>
        <xdr:spPr>
          <a:xfrm>
            <a:off x="0" y="129578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7" name="Freihandform: Form 96">
            <a:extLst>
              <a:ext uri="{FF2B5EF4-FFF2-40B4-BE49-F238E27FC236}">
                <a16:creationId xmlns:a16="http://schemas.microsoft.com/office/drawing/2014/main" id="{6C12A2A2-277F-941A-DC7B-E0CEE1EA16A5}"/>
              </a:ext>
            </a:extLst>
          </xdr:cNvPr>
          <xdr:cNvSpPr/>
        </xdr:nvSpPr>
        <xdr:spPr>
          <a:xfrm>
            <a:off x="683006" y="129578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8" name="Freihandform: Form 97">
            <a:extLst>
              <a:ext uri="{FF2B5EF4-FFF2-40B4-BE49-F238E27FC236}">
                <a16:creationId xmlns:a16="http://schemas.microsoft.com/office/drawing/2014/main" id="{B3ABC043-863A-03AA-6F9E-C64D003C035C}"/>
              </a:ext>
            </a:extLst>
          </xdr:cNvPr>
          <xdr:cNvSpPr/>
        </xdr:nvSpPr>
        <xdr:spPr>
          <a:xfrm>
            <a:off x="1367281" y="129578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99" name="Freihandform: Form 98">
            <a:extLst>
              <a:ext uri="{FF2B5EF4-FFF2-40B4-BE49-F238E27FC236}">
                <a16:creationId xmlns:a16="http://schemas.microsoft.com/office/drawing/2014/main" id="{CD4F4189-66B6-9567-317C-0C08FB4691CB}"/>
              </a:ext>
            </a:extLst>
          </xdr:cNvPr>
          <xdr:cNvSpPr/>
        </xdr:nvSpPr>
        <xdr:spPr>
          <a:xfrm>
            <a:off x="0" y="145732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00" name="Freihandform: Form 99">
            <a:extLst>
              <a:ext uri="{FF2B5EF4-FFF2-40B4-BE49-F238E27FC236}">
                <a16:creationId xmlns:a16="http://schemas.microsoft.com/office/drawing/2014/main" id="{3891E46B-F307-F3EB-07D3-6730880CDD0C}"/>
              </a:ext>
            </a:extLst>
          </xdr:cNvPr>
          <xdr:cNvSpPr/>
        </xdr:nvSpPr>
        <xdr:spPr>
          <a:xfrm>
            <a:off x="683006" y="145732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01" name="Freihandform: Form 100">
            <a:extLst>
              <a:ext uri="{FF2B5EF4-FFF2-40B4-BE49-F238E27FC236}">
                <a16:creationId xmlns:a16="http://schemas.microsoft.com/office/drawing/2014/main" id="{C04C3529-21BB-DF34-33E0-CC82EE095F1D}"/>
              </a:ext>
            </a:extLst>
          </xdr:cNvPr>
          <xdr:cNvSpPr/>
        </xdr:nvSpPr>
        <xdr:spPr>
          <a:xfrm>
            <a:off x="1367281" y="145732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02" name="Freihandform: Form 101">
            <a:extLst>
              <a:ext uri="{FF2B5EF4-FFF2-40B4-BE49-F238E27FC236}">
                <a16:creationId xmlns:a16="http://schemas.microsoft.com/office/drawing/2014/main" id="{B962FC5C-EF8B-82CB-7E56-8DB5F6D2E65C}"/>
              </a:ext>
            </a:extLst>
          </xdr:cNvPr>
          <xdr:cNvSpPr/>
        </xdr:nvSpPr>
        <xdr:spPr>
          <a:xfrm>
            <a:off x="0" y="1620392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03" name="Freihandform: Form 102">
            <a:extLst>
              <a:ext uri="{FF2B5EF4-FFF2-40B4-BE49-F238E27FC236}">
                <a16:creationId xmlns:a16="http://schemas.microsoft.com/office/drawing/2014/main" id="{33CD3590-99BD-0FCB-7E21-93EBE26184D3}"/>
              </a:ext>
            </a:extLst>
          </xdr:cNvPr>
          <xdr:cNvSpPr/>
        </xdr:nvSpPr>
        <xdr:spPr>
          <a:xfrm>
            <a:off x="683006" y="1620392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04" name="Freihandform: Form 103">
            <a:extLst>
              <a:ext uri="{FF2B5EF4-FFF2-40B4-BE49-F238E27FC236}">
                <a16:creationId xmlns:a16="http://schemas.microsoft.com/office/drawing/2014/main" id="{282DA0E6-4C96-2DFF-C8B7-D91238E2B88C}"/>
              </a:ext>
            </a:extLst>
          </xdr:cNvPr>
          <xdr:cNvSpPr/>
        </xdr:nvSpPr>
        <xdr:spPr>
          <a:xfrm>
            <a:off x="1367281" y="1620392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05" name="Freihandform: Form 104">
            <a:extLst>
              <a:ext uri="{FF2B5EF4-FFF2-40B4-BE49-F238E27FC236}">
                <a16:creationId xmlns:a16="http://schemas.microsoft.com/office/drawing/2014/main" id="{C85F113D-7613-9994-BD1F-F17F284AA7F8}"/>
              </a:ext>
            </a:extLst>
          </xdr:cNvPr>
          <xdr:cNvSpPr/>
        </xdr:nvSpPr>
        <xdr:spPr>
          <a:xfrm>
            <a:off x="3409823" y="1620392"/>
            <a:ext cx="9143" cy="9144"/>
          </a:xfrm>
          <a:custGeom>
            <a:avLst/>
            <a:gdLst/>
            <a:ahLst/>
            <a:cxnLst/>
            <a:rect l="l" t="t" r="r" b="b"/>
            <a:pathLst>
              <a:path w="9143" h="9144">
                <a:moveTo>
                  <a:pt x="0" y="9144"/>
                </a:moveTo>
                <a:lnTo>
                  <a:pt x="9143" y="9144"/>
                </a:lnTo>
                <a:lnTo>
                  <a:pt x="9143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7</xdr:row>
      <xdr:rowOff>219075</xdr:rowOff>
    </xdr:from>
    <xdr:to>
      <xdr:col>0</xdr:col>
      <xdr:colOff>27305</xdr:colOff>
      <xdr:row>7</xdr:row>
      <xdr:rowOff>227965</xdr:rowOff>
    </xdr:to>
    <xdr:grpSp>
      <xdr:nvGrpSpPr>
        <xdr:cNvPr id="114" name="Freeform 162">
          <a:extLst>
            <a:ext uri="{FF2B5EF4-FFF2-40B4-BE49-F238E27FC236}">
              <a16:creationId xmlns:a16="http://schemas.microsoft.com/office/drawing/2014/main" id="{4CBD1E95-5278-B482-0DF4-2A930398E454}"/>
            </a:ext>
          </a:extLst>
        </xdr:cNvPr>
        <xdr:cNvGrpSpPr/>
      </xdr:nvGrpSpPr>
      <xdr:grpSpPr>
        <a:xfrm>
          <a:off x="0" y="1617593"/>
          <a:ext cx="27305" cy="0"/>
          <a:chOff x="0" y="0"/>
          <a:chExt cx="27432" cy="9144"/>
        </a:xfrm>
      </xdr:grpSpPr>
      <xdr:sp macro="" textlink="">
        <xdr:nvSpPr>
          <xdr:cNvPr id="115" name="Freihandform: Form 114">
            <a:extLst>
              <a:ext uri="{FF2B5EF4-FFF2-40B4-BE49-F238E27FC236}">
                <a16:creationId xmlns:a16="http://schemas.microsoft.com/office/drawing/2014/main" id="{FC579ED9-A36B-C313-73C5-1C521B930990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16" name="Freihandform: Form 115">
            <a:extLst>
              <a:ext uri="{FF2B5EF4-FFF2-40B4-BE49-F238E27FC236}">
                <a16:creationId xmlns:a16="http://schemas.microsoft.com/office/drawing/2014/main" id="{B68F8B00-8D66-95E2-9E95-6D8FE0D64BC8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9</xdr:col>
      <xdr:colOff>619125</xdr:colOff>
      <xdr:row>8</xdr:row>
      <xdr:rowOff>0</xdr:rowOff>
    </xdr:from>
    <xdr:to>
      <xdr:col>9</xdr:col>
      <xdr:colOff>628015</xdr:colOff>
      <xdr:row>8</xdr:row>
      <xdr:rowOff>8890</xdr:rowOff>
    </xdr:to>
    <xdr:sp macro="" textlink="">
      <xdr:nvSpPr>
        <xdr:cNvPr id="117" name="Freeform 164">
          <a:extLst>
            <a:ext uri="{FF2B5EF4-FFF2-40B4-BE49-F238E27FC236}">
              <a16:creationId xmlns:a16="http://schemas.microsoft.com/office/drawing/2014/main" id="{05FCCD4F-0FAF-A62E-E1AF-0F5E5C0CB912}"/>
            </a:ext>
          </a:extLst>
        </xdr:cNvPr>
        <xdr:cNvSpPr/>
      </xdr:nvSpPr>
      <xdr:spPr>
        <a:xfrm>
          <a:off x="6793865" y="231394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8</xdr:row>
      <xdr:rowOff>219075</xdr:rowOff>
    </xdr:from>
    <xdr:to>
      <xdr:col>0</xdr:col>
      <xdr:colOff>27305</xdr:colOff>
      <xdr:row>8</xdr:row>
      <xdr:rowOff>227965</xdr:rowOff>
    </xdr:to>
    <xdr:grpSp>
      <xdr:nvGrpSpPr>
        <xdr:cNvPr id="118" name="Freeform 165">
          <a:extLst>
            <a:ext uri="{FF2B5EF4-FFF2-40B4-BE49-F238E27FC236}">
              <a16:creationId xmlns:a16="http://schemas.microsoft.com/office/drawing/2014/main" id="{733B523F-F832-AB9F-DC6F-90CA5C381DCD}"/>
            </a:ext>
          </a:extLst>
        </xdr:cNvPr>
        <xdr:cNvGrpSpPr/>
      </xdr:nvGrpSpPr>
      <xdr:grpSpPr>
        <a:xfrm>
          <a:off x="0" y="1824659"/>
          <a:ext cx="27305" cy="0"/>
          <a:chOff x="0" y="0"/>
          <a:chExt cx="27432" cy="9144"/>
        </a:xfrm>
      </xdr:grpSpPr>
      <xdr:sp macro="" textlink="">
        <xdr:nvSpPr>
          <xdr:cNvPr id="119" name="Freihandform: Form 118">
            <a:extLst>
              <a:ext uri="{FF2B5EF4-FFF2-40B4-BE49-F238E27FC236}">
                <a16:creationId xmlns:a16="http://schemas.microsoft.com/office/drawing/2014/main" id="{BD6FFE7C-8566-B1E4-5EDF-141300856321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20" name="Freihandform: Form 119">
            <a:extLst>
              <a:ext uri="{FF2B5EF4-FFF2-40B4-BE49-F238E27FC236}">
                <a16:creationId xmlns:a16="http://schemas.microsoft.com/office/drawing/2014/main" id="{EA70E71F-4313-3AB8-1DA0-7B7BA5A12F18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9</xdr:row>
      <xdr:rowOff>190500</xdr:rowOff>
    </xdr:from>
    <xdr:to>
      <xdr:col>0</xdr:col>
      <xdr:colOff>27305</xdr:colOff>
      <xdr:row>9</xdr:row>
      <xdr:rowOff>199390</xdr:rowOff>
    </xdr:to>
    <xdr:grpSp>
      <xdr:nvGrpSpPr>
        <xdr:cNvPr id="121" name="Freeform 173">
          <a:extLst>
            <a:ext uri="{FF2B5EF4-FFF2-40B4-BE49-F238E27FC236}">
              <a16:creationId xmlns:a16="http://schemas.microsoft.com/office/drawing/2014/main" id="{F6ADCAF9-4F4B-4A72-F222-53AC00D49DFA}"/>
            </a:ext>
          </a:extLst>
        </xdr:cNvPr>
        <xdr:cNvGrpSpPr/>
      </xdr:nvGrpSpPr>
      <xdr:grpSpPr>
        <a:xfrm>
          <a:off x="0" y="2012674"/>
          <a:ext cx="27305" cy="8890"/>
          <a:chOff x="0" y="0"/>
          <a:chExt cx="27432" cy="9144"/>
        </a:xfrm>
      </xdr:grpSpPr>
      <xdr:sp macro="" textlink="">
        <xdr:nvSpPr>
          <xdr:cNvPr id="122" name="Freihandform: Form 121">
            <a:extLst>
              <a:ext uri="{FF2B5EF4-FFF2-40B4-BE49-F238E27FC236}">
                <a16:creationId xmlns:a16="http://schemas.microsoft.com/office/drawing/2014/main" id="{CD824CA7-41F6-D9EA-CE48-A80AB683CDC3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23" name="Freihandform: Form 122">
            <a:extLst>
              <a:ext uri="{FF2B5EF4-FFF2-40B4-BE49-F238E27FC236}">
                <a16:creationId xmlns:a16="http://schemas.microsoft.com/office/drawing/2014/main" id="{8B5A83D9-E1CD-D244-E5DC-5A0EAEC703D0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8</xdr:col>
      <xdr:colOff>638175</xdr:colOff>
      <xdr:row>10</xdr:row>
      <xdr:rowOff>47625</xdr:rowOff>
    </xdr:from>
    <xdr:to>
      <xdr:col>8</xdr:col>
      <xdr:colOff>647065</xdr:colOff>
      <xdr:row>10</xdr:row>
      <xdr:rowOff>56515</xdr:rowOff>
    </xdr:to>
    <xdr:sp macro="" textlink="">
      <xdr:nvSpPr>
        <xdr:cNvPr id="134" name="Freeform 178">
          <a:extLst>
            <a:ext uri="{FF2B5EF4-FFF2-40B4-BE49-F238E27FC236}">
              <a16:creationId xmlns:a16="http://schemas.microsoft.com/office/drawing/2014/main" id="{C7D22DF9-3207-3D82-4B96-13AD557A8CAF}"/>
            </a:ext>
          </a:extLst>
        </xdr:cNvPr>
        <xdr:cNvSpPr/>
      </xdr:nvSpPr>
      <xdr:spPr>
        <a:xfrm>
          <a:off x="6122670" y="259969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9</xdr:col>
      <xdr:colOff>619125</xdr:colOff>
      <xdr:row>10</xdr:row>
      <xdr:rowOff>0</xdr:rowOff>
    </xdr:from>
    <xdr:to>
      <xdr:col>9</xdr:col>
      <xdr:colOff>628015</xdr:colOff>
      <xdr:row>10</xdr:row>
      <xdr:rowOff>8890</xdr:rowOff>
    </xdr:to>
    <xdr:sp macro="" textlink="">
      <xdr:nvSpPr>
        <xdr:cNvPr id="135" name="Freeform 175">
          <a:extLst>
            <a:ext uri="{FF2B5EF4-FFF2-40B4-BE49-F238E27FC236}">
              <a16:creationId xmlns:a16="http://schemas.microsoft.com/office/drawing/2014/main" id="{9AEBCA2D-EADB-7B47-5EDF-823B9D662749}"/>
            </a:ext>
          </a:extLst>
        </xdr:cNvPr>
        <xdr:cNvSpPr/>
      </xdr:nvSpPr>
      <xdr:spPr>
        <a:xfrm>
          <a:off x="6793865" y="261239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10</xdr:row>
      <xdr:rowOff>190500</xdr:rowOff>
    </xdr:from>
    <xdr:to>
      <xdr:col>0</xdr:col>
      <xdr:colOff>27305</xdr:colOff>
      <xdr:row>10</xdr:row>
      <xdr:rowOff>199390</xdr:rowOff>
    </xdr:to>
    <xdr:grpSp>
      <xdr:nvGrpSpPr>
        <xdr:cNvPr id="136" name="Freeform 176">
          <a:extLst>
            <a:ext uri="{FF2B5EF4-FFF2-40B4-BE49-F238E27FC236}">
              <a16:creationId xmlns:a16="http://schemas.microsoft.com/office/drawing/2014/main" id="{26ABFBC7-003A-CA86-00D0-E5EEAA9374AA}"/>
            </a:ext>
          </a:extLst>
        </xdr:cNvPr>
        <xdr:cNvGrpSpPr/>
      </xdr:nvGrpSpPr>
      <xdr:grpSpPr>
        <a:xfrm>
          <a:off x="0" y="2219739"/>
          <a:ext cx="27305" cy="8890"/>
          <a:chOff x="0" y="0"/>
          <a:chExt cx="27432" cy="9144"/>
        </a:xfrm>
      </xdr:grpSpPr>
      <xdr:sp macro="" textlink="">
        <xdr:nvSpPr>
          <xdr:cNvPr id="137" name="Freihandform: Form 136">
            <a:extLst>
              <a:ext uri="{FF2B5EF4-FFF2-40B4-BE49-F238E27FC236}">
                <a16:creationId xmlns:a16="http://schemas.microsoft.com/office/drawing/2014/main" id="{B734E544-28E3-AFC3-2327-5A6A55DA1DED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38" name="Freihandform: Form 137">
            <a:extLst>
              <a:ext uri="{FF2B5EF4-FFF2-40B4-BE49-F238E27FC236}">
                <a16:creationId xmlns:a16="http://schemas.microsoft.com/office/drawing/2014/main" id="{60CE5A06-C9A1-4DE1-5A41-43D7C3262E85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8</xdr:col>
      <xdr:colOff>638175</xdr:colOff>
      <xdr:row>11</xdr:row>
      <xdr:rowOff>0</xdr:rowOff>
    </xdr:from>
    <xdr:to>
      <xdr:col>8</xdr:col>
      <xdr:colOff>647065</xdr:colOff>
      <xdr:row>11</xdr:row>
      <xdr:rowOff>8890</xdr:rowOff>
    </xdr:to>
    <xdr:sp macro="" textlink="">
      <xdr:nvSpPr>
        <xdr:cNvPr id="139" name="Freeform 179">
          <a:extLst>
            <a:ext uri="{FF2B5EF4-FFF2-40B4-BE49-F238E27FC236}">
              <a16:creationId xmlns:a16="http://schemas.microsoft.com/office/drawing/2014/main" id="{A6F62A89-25F5-088D-AAD3-43B3499D53E2}"/>
            </a:ext>
          </a:extLst>
        </xdr:cNvPr>
        <xdr:cNvSpPr/>
      </xdr:nvSpPr>
      <xdr:spPr>
        <a:xfrm>
          <a:off x="6122670" y="276098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11</xdr:row>
      <xdr:rowOff>190500</xdr:rowOff>
    </xdr:from>
    <xdr:to>
      <xdr:col>0</xdr:col>
      <xdr:colOff>27305</xdr:colOff>
      <xdr:row>11</xdr:row>
      <xdr:rowOff>199390</xdr:rowOff>
    </xdr:to>
    <xdr:grpSp>
      <xdr:nvGrpSpPr>
        <xdr:cNvPr id="141" name="Freeform 181">
          <a:extLst>
            <a:ext uri="{FF2B5EF4-FFF2-40B4-BE49-F238E27FC236}">
              <a16:creationId xmlns:a16="http://schemas.microsoft.com/office/drawing/2014/main" id="{214AAB30-A3F8-435C-C156-84211E305DBB}"/>
            </a:ext>
          </a:extLst>
        </xdr:cNvPr>
        <xdr:cNvGrpSpPr/>
      </xdr:nvGrpSpPr>
      <xdr:grpSpPr>
        <a:xfrm>
          <a:off x="0" y="2426804"/>
          <a:ext cx="27305" cy="8890"/>
          <a:chOff x="0" y="0"/>
          <a:chExt cx="27432" cy="9144"/>
        </a:xfrm>
      </xdr:grpSpPr>
      <xdr:sp macro="" textlink="">
        <xdr:nvSpPr>
          <xdr:cNvPr id="142" name="Freihandform: Form 141">
            <a:extLst>
              <a:ext uri="{FF2B5EF4-FFF2-40B4-BE49-F238E27FC236}">
                <a16:creationId xmlns:a16="http://schemas.microsoft.com/office/drawing/2014/main" id="{D5264373-F00C-1518-91C9-B93499C29569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43" name="Freihandform: Form 142">
            <a:extLst>
              <a:ext uri="{FF2B5EF4-FFF2-40B4-BE49-F238E27FC236}">
                <a16:creationId xmlns:a16="http://schemas.microsoft.com/office/drawing/2014/main" id="{0FAF9440-D942-F8DF-325F-B05CCC333938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9</xdr:col>
      <xdr:colOff>619125</xdr:colOff>
      <xdr:row>12</xdr:row>
      <xdr:rowOff>0</xdr:rowOff>
    </xdr:from>
    <xdr:to>
      <xdr:col>9</xdr:col>
      <xdr:colOff>628015</xdr:colOff>
      <xdr:row>12</xdr:row>
      <xdr:rowOff>8890</xdr:rowOff>
    </xdr:to>
    <xdr:sp macro="" textlink="">
      <xdr:nvSpPr>
        <xdr:cNvPr id="144" name="Freeform 183">
          <a:extLst>
            <a:ext uri="{FF2B5EF4-FFF2-40B4-BE49-F238E27FC236}">
              <a16:creationId xmlns:a16="http://schemas.microsoft.com/office/drawing/2014/main" id="{B3673A58-46F9-ADBB-A9EE-91E692B62A93}"/>
            </a:ext>
          </a:extLst>
        </xdr:cNvPr>
        <xdr:cNvSpPr/>
      </xdr:nvSpPr>
      <xdr:spPr>
        <a:xfrm>
          <a:off x="6793865" y="291020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12</xdr:row>
      <xdr:rowOff>190500</xdr:rowOff>
    </xdr:from>
    <xdr:to>
      <xdr:col>0</xdr:col>
      <xdr:colOff>27305</xdr:colOff>
      <xdr:row>12</xdr:row>
      <xdr:rowOff>199390</xdr:rowOff>
    </xdr:to>
    <xdr:grpSp>
      <xdr:nvGrpSpPr>
        <xdr:cNvPr id="145" name="Freeform 184">
          <a:extLst>
            <a:ext uri="{FF2B5EF4-FFF2-40B4-BE49-F238E27FC236}">
              <a16:creationId xmlns:a16="http://schemas.microsoft.com/office/drawing/2014/main" id="{7CDFE847-7739-22CE-41EE-839D9047EBA0}"/>
            </a:ext>
          </a:extLst>
        </xdr:cNvPr>
        <xdr:cNvGrpSpPr/>
      </xdr:nvGrpSpPr>
      <xdr:grpSpPr>
        <a:xfrm>
          <a:off x="0" y="2633870"/>
          <a:ext cx="27305" cy="8890"/>
          <a:chOff x="0" y="0"/>
          <a:chExt cx="27432" cy="9144"/>
        </a:xfrm>
      </xdr:grpSpPr>
      <xdr:sp macro="" textlink="">
        <xdr:nvSpPr>
          <xdr:cNvPr id="146" name="Freihandform: Form 145">
            <a:extLst>
              <a:ext uri="{FF2B5EF4-FFF2-40B4-BE49-F238E27FC236}">
                <a16:creationId xmlns:a16="http://schemas.microsoft.com/office/drawing/2014/main" id="{A2907B5B-8389-FCC9-3300-22DA830EFC94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47" name="Freihandform: Form 146">
            <a:extLst>
              <a:ext uri="{FF2B5EF4-FFF2-40B4-BE49-F238E27FC236}">
                <a16:creationId xmlns:a16="http://schemas.microsoft.com/office/drawing/2014/main" id="{BF771AE0-8EF3-A9E9-4EE2-8B8DEB809D4D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9</xdr:col>
      <xdr:colOff>619125</xdr:colOff>
      <xdr:row>13</xdr:row>
      <xdr:rowOff>0</xdr:rowOff>
    </xdr:from>
    <xdr:to>
      <xdr:col>9</xdr:col>
      <xdr:colOff>628015</xdr:colOff>
      <xdr:row>13</xdr:row>
      <xdr:rowOff>8890</xdr:rowOff>
    </xdr:to>
    <xdr:sp macro="" textlink="">
      <xdr:nvSpPr>
        <xdr:cNvPr id="148" name="Freeform 186">
          <a:extLst>
            <a:ext uri="{FF2B5EF4-FFF2-40B4-BE49-F238E27FC236}">
              <a16:creationId xmlns:a16="http://schemas.microsoft.com/office/drawing/2014/main" id="{D59DB607-AD7B-B0CC-4C7D-8C95847FD0F5}"/>
            </a:ext>
          </a:extLst>
        </xdr:cNvPr>
        <xdr:cNvSpPr/>
      </xdr:nvSpPr>
      <xdr:spPr>
        <a:xfrm>
          <a:off x="6793865" y="306006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13</xdr:row>
      <xdr:rowOff>190500</xdr:rowOff>
    </xdr:from>
    <xdr:to>
      <xdr:col>0</xdr:col>
      <xdr:colOff>27305</xdr:colOff>
      <xdr:row>13</xdr:row>
      <xdr:rowOff>199390</xdr:rowOff>
    </xdr:to>
    <xdr:grpSp>
      <xdr:nvGrpSpPr>
        <xdr:cNvPr id="149" name="Freeform 187">
          <a:extLst>
            <a:ext uri="{FF2B5EF4-FFF2-40B4-BE49-F238E27FC236}">
              <a16:creationId xmlns:a16="http://schemas.microsoft.com/office/drawing/2014/main" id="{C9BF4C50-9F15-E28B-1148-ADA435C9A814}"/>
            </a:ext>
          </a:extLst>
        </xdr:cNvPr>
        <xdr:cNvGrpSpPr/>
      </xdr:nvGrpSpPr>
      <xdr:grpSpPr>
        <a:xfrm>
          <a:off x="0" y="2840935"/>
          <a:ext cx="27305" cy="8890"/>
          <a:chOff x="0" y="0"/>
          <a:chExt cx="27432" cy="9144"/>
        </a:xfrm>
      </xdr:grpSpPr>
      <xdr:sp macro="" textlink="">
        <xdr:nvSpPr>
          <xdr:cNvPr id="150" name="Freihandform: Form 149">
            <a:extLst>
              <a:ext uri="{FF2B5EF4-FFF2-40B4-BE49-F238E27FC236}">
                <a16:creationId xmlns:a16="http://schemas.microsoft.com/office/drawing/2014/main" id="{6A9831FA-048A-6255-2B5C-E8A175D88F4F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51" name="Freihandform: Form 150">
            <a:extLst>
              <a:ext uri="{FF2B5EF4-FFF2-40B4-BE49-F238E27FC236}">
                <a16:creationId xmlns:a16="http://schemas.microsoft.com/office/drawing/2014/main" id="{70C4EB6A-A6A4-09A1-9884-D770905018A9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14</xdr:row>
      <xdr:rowOff>219075</xdr:rowOff>
    </xdr:from>
    <xdr:to>
      <xdr:col>0</xdr:col>
      <xdr:colOff>27305</xdr:colOff>
      <xdr:row>14</xdr:row>
      <xdr:rowOff>227965</xdr:rowOff>
    </xdr:to>
    <xdr:grpSp>
      <xdr:nvGrpSpPr>
        <xdr:cNvPr id="152" name="Freeform 198">
          <a:extLst>
            <a:ext uri="{FF2B5EF4-FFF2-40B4-BE49-F238E27FC236}">
              <a16:creationId xmlns:a16="http://schemas.microsoft.com/office/drawing/2014/main" id="{442C33A8-30FC-3BC5-FE4B-33308B717A0B}"/>
            </a:ext>
          </a:extLst>
        </xdr:cNvPr>
        <xdr:cNvGrpSpPr/>
      </xdr:nvGrpSpPr>
      <xdr:grpSpPr>
        <a:xfrm>
          <a:off x="0" y="3067050"/>
          <a:ext cx="27305" cy="0"/>
          <a:chOff x="0" y="0"/>
          <a:chExt cx="27432" cy="9144"/>
        </a:xfrm>
      </xdr:grpSpPr>
      <xdr:sp macro="" textlink="">
        <xdr:nvSpPr>
          <xdr:cNvPr id="153" name="Freihandform: Form 152">
            <a:extLst>
              <a:ext uri="{FF2B5EF4-FFF2-40B4-BE49-F238E27FC236}">
                <a16:creationId xmlns:a16="http://schemas.microsoft.com/office/drawing/2014/main" id="{7BAD0821-77D5-5730-7570-C323CCCCF68D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54" name="Freihandform: Form 153">
            <a:extLst>
              <a:ext uri="{FF2B5EF4-FFF2-40B4-BE49-F238E27FC236}">
                <a16:creationId xmlns:a16="http://schemas.microsoft.com/office/drawing/2014/main" id="{F7E481E1-7CE6-06BB-6049-8BAAA584BEB0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8</xdr:col>
      <xdr:colOff>466725</xdr:colOff>
      <xdr:row>15</xdr:row>
      <xdr:rowOff>0</xdr:rowOff>
    </xdr:from>
    <xdr:to>
      <xdr:col>8</xdr:col>
      <xdr:colOff>475615</xdr:colOff>
      <xdr:row>15</xdr:row>
      <xdr:rowOff>8890</xdr:rowOff>
    </xdr:to>
    <xdr:sp macro="" textlink="">
      <xdr:nvSpPr>
        <xdr:cNvPr id="155" name="Freeform 200">
          <a:extLst>
            <a:ext uri="{FF2B5EF4-FFF2-40B4-BE49-F238E27FC236}">
              <a16:creationId xmlns:a16="http://schemas.microsoft.com/office/drawing/2014/main" id="{0BEBEF2B-2223-50F0-E87F-C236D16A1FA8}"/>
            </a:ext>
          </a:extLst>
        </xdr:cNvPr>
        <xdr:cNvSpPr/>
      </xdr:nvSpPr>
      <xdr:spPr>
        <a:xfrm>
          <a:off x="6798310" y="335724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15</xdr:row>
      <xdr:rowOff>219075</xdr:rowOff>
    </xdr:from>
    <xdr:to>
      <xdr:col>0</xdr:col>
      <xdr:colOff>27305</xdr:colOff>
      <xdr:row>15</xdr:row>
      <xdr:rowOff>227965</xdr:rowOff>
    </xdr:to>
    <xdr:grpSp>
      <xdr:nvGrpSpPr>
        <xdr:cNvPr id="156" name="Freeform 201">
          <a:extLst>
            <a:ext uri="{FF2B5EF4-FFF2-40B4-BE49-F238E27FC236}">
              <a16:creationId xmlns:a16="http://schemas.microsoft.com/office/drawing/2014/main" id="{FE258AB1-A4B6-DAE4-14CC-A482977A727E}"/>
            </a:ext>
          </a:extLst>
        </xdr:cNvPr>
        <xdr:cNvGrpSpPr/>
      </xdr:nvGrpSpPr>
      <xdr:grpSpPr>
        <a:xfrm>
          <a:off x="0" y="3274115"/>
          <a:ext cx="27305" cy="0"/>
          <a:chOff x="0" y="0"/>
          <a:chExt cx="27432" cy="9144"/>
        </a:xfrm>
      </xdr:grpSpPr>
      <xdr:sp macro="" textlink="">
        <xdr:nvSpPr>
          <xdr:cNvPr id="157" name="Freihandform: Form 156">
            <a:extLst>
              <a:ext uri="{FF2B5EF4-FFF2-40B4-BE49-F238E27FC236}">
                <a16:creationId xmlns:a16="http://schemas.microsoft.com/office/drawing/2014/main" id="{C643C6E0-4B81-9F28-55C9-94DD51279E2C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58" name="Freihandform: Form 157">
            <a:extLst>
              <a:ext uri="{FF2B5EF4-FFF2-40B4-BE49-F238E27FC236}">
                <a16:creationId xmlns:a16="http://schemas.microsoft.com/office/drawing/2014/main" id="{75BC5DEA-C86D-035B-3AFA-A1A87F2C830A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8</xdr:col>
      <xdr:colOff>466725</xdr:colOff>
      <xdr:row>16</xdr:row>
      <xdr:rowOff>0</xdr:rowOff>
    </xdr:from>
    <xdr:to>
      <xdr:col>8</xdr:col>
      <xdr:colOff>475615</xdr:colOff>
      <xdr:row>16</xdr:row>
      <xdr:rowOff>8890</xdr:rowOff>
    </xdr:to>
    <xdr:sp macro="" textlink="">
      <xdr:nvSpPr>
        <xdr:cNvPr id="159" name="Freeform 203">
          <a:extLst>
            <a:ext uri="{FF2B5EF4-FFF2-40B4-BE49-F238E27FC236}">
              <a16:creationId xmlns:a16="http://schemas.microsoft.com/office/drawing/2014/main" id="{D2D4D5BC-E3B0-C667-CDE6-0B0F1C052DB1}"/>
            </a:ext>
          </a:extLst>
        </xdr:cNvPr>
        <xdr:cNvSpPr/>
      </xdr:nvSpPr>
      <xdr:spPr>
        <a:xfrm>
          <a:off x="6798310" y="350583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16</xdr:row>
      <xdr:rowOff>219075</xdr:rowOff>
    </xdr:from>
    <xdr:to>
      <xdr:col>0</xdr:col>
      <xdr:colOff>27305</xdr:colOff>
      <xdr:row>16</xdr:row>
      <xdr:rowOff>227965</xdr:rowOff>
    </xdr:to>
    <xdr:grpSp>
      <xdr:nvGrpSpPr>
        <xdr:cNvPr id="160" name="Freeform 204">
          <a:extLst>
            <a:ext uri="{FF2B5EF4-FFF2-40B4-BE49-F238E27FC236}">
              <a16:creationId xmlns:a16="http://schemas.microsoft.com/office/drawing/2014/main" id="{2C197A27-215C-D34E-2A1B-1E5A0B6A005A}"/>
            </a:ext>
          </a:extLst>
        </xdr:cNvPr>
        <xdr:cNvGrpSpPr/>
      </xdr:nvGrpSpPr>
      <xdr:grpSpPr>
        <a:xfrm>
          <a:off x="0" y="3481180"/>
          <a:ext cx="27305" cy="0"/>
          <a:chOff x="0" y="0"/>
          <a:chExt cx="27432" cy="9144"/>
        </a:xfrm>
      </xdr:grpSpPr>
      <xdr:sp macro="" textlink="">
        <xdr:nvSpPr>
          <xdr:cNvPr id="161" name="Freihandform: Form 160">
            <a:extLst>
              <a:ext uri="{FF2B5EF4-FFF2-40B4-BE49-F238E27FC236}">
                <a16:creationId xmlns:a16="http://schemas.microsoft.com/office/drawing/2014/main" id="{744690D3-E3EE-E0CF-330D-8DE0AC06F2D9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62" name="Freihandform: Form 161">
            <a:extLst>
              <a:ext uri="{FF2B5EF4-FFF2-40B4-BE49-F238E27FC236}">
                <a16:creationId xmlns:a16="http://schemas.microsoft.com/office/drawing/2014/main" id="{D2B7E750-85C7-50EA-1FC9-77AF8404D954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17</xdr:row>
      <xdr:rowOff>190500</xdr:rowOff>
    </xdr:from>
    <xdr:to>
      <xdr:col>0</xdr:col>
      <xdr:colOff>27305</xdr:colOff>
      <xdr:row>17</xdr:row>
      <xdr:rowOff>199390</xdr:rowOff>
    </xdr:to>
    <xdr:grpSp>
      <xdr:nvGrpSpPr>
        <xdr:cNvPr id="163" name="Freeform 240">
          <a:extLst>
            <a:ext uri="{FF2B5EF4-FFF2-40B4-BE49-F238E27FC236}">
              <a16:creationId xmlns:a16="http://schemas.microsoft.com/office/drawing/2014/main" id="{D80F1B1C-8222-CA09-FCEE-B77BA0072916}"/>
            </a:ext>
          </a:extLst>
        </xdr:cNvPr>
        <xdr:cNvGrpSpPr/>
      </xdr:nvGrpSpPr>
      <xdr:grpSpPr>
        <a:xfrm>
          <a:off x="0" y="3669196"/>
          <a:ext cx="27305" cy="8890"/>
          <a:chOff x="0" y="0"/>
          <a:chExt cx="27432" cy="9144"/>
        </a:xfrm>
      </xdr:grpSpPr>
      <xdr:sp macro="" textlink="">
        <xdr:nvSpPr>
          <xdr:cNvPr id="164" name="Freihandform: Form 163">
            <a:extLst>
              <a:ext uri="{FF2B5EF4-FFF2-40B4-BE49-F238E27FC236}">
                <a16:creationId xmlns:a16="http://schemas.microsoft.com/office/drawing/2014/main" id="{AB1B5559-9A99-9EF9-9F9E-35BDFCF4766E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65" name="Freihandform: Form 164">
            <a:extLst>
              <a:ext uri="{FF2B5EF4-FFF2-40B4-BE49-F238E27FC236}">
                <a16:creationId xmlns:a16="http://schemas.microsoft.com/office/drawing/2014/main" id="{7E6203E0-0881-4AF9-2A29-F4207A42A764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6</xdr:col>
      <xdr:colOff>638175</xdr:colOff>
      <xdr:row>21</xdr:row>
      <xdr:rowOff>47625</xdr:rowOff>
    </xdr:from>
    <xdr:to>
      <xdr:col>11</xdr:col>
      <xdr:colOff>247015</xdr:colOff>
      <xdr:row>28</xdr:row>
      <xdr:rowOff>8255</xdr:rowOff>
    </xdr:to>
    <xdr:grpSp>
      <xdr:nvGrpSpPr>
        <xdr:cNvPr id="166" name="Freeform 276">
          <a:extLst>
            <a:ext uri="{FF2B5EF4-FFF2-40B4-BE49-F238E27FC236}">
              <a16:creationId xmlns:a16="http://schemas.microsoft.com/office/drawing/2014/main" id="{AD1756EA-51AA-54B5-90C4-550B9FB514CD}"/>
            </a:ext>
          </a:extLst>
        </xdr:cNvPr>
        <xdr:cNvGrpSpPr/>
      </xdr:nvGrpSpPr>
      <xdr:grpSpPr>
        <a:xfrm>
          <a:off x="5781675" y="4354582"/>
          <a:ext cx="3418840" cy="1410086"/>
          <a:chOff x="0" y="0"/>
          <a:chExt cx="3418966" cy="1627886"/>
        </a:xfrm>
      </xdr:grpSpPr>
      <xdr:sp macro="" textlink="">
        <xdr:nvSpPr>
          <xdr:cNvPr id="167" name="Freihandform: Form 166">
            <a:extLst>
              <a:ext uri="{FF2B5EF4-FFF2-40B4-BE49-F238E27FC236}">
                <a16:creationId xmlns:a16="http://schemas.microsoft.com/office/drawing/2014/main" id="{803CADE1-29E6-D57B-C6E4-FB0D13537E6A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68" name="Freihandform: Form 167">
            <a:extLst>
              <a:ext uri="{FF2B5EF4-FFF2-40B4-BE49-F238E27FC236}">
                <a16:creationId xmlns:a16="http://schemas.microsoft.com/office/drawing/2014/main" id="{B4069A94-08FD-188D-E6BA-A3D3A7FEC580}"/>
              </a:ext>
            </a:extLst>
          </xdr:cNvPr>
          <xdr:cNvSpPr/>
        </xdr:nvSpPr>
        <xdr:spPr>
          <a:xfrm>
            <a:off x="0" y="16154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69" name="Freihandform: Form 168">
            <a:extLst>
              <a:ext uri="{FF2B5EF4-FFF2-40B4-BE49-F238E27FC236}">
                <a16:creationId xmlns:a16="http://schemas.microsoft.com/office/drawing/2014/main" id="{3BB8E6FF-3D51-AF4B-D82F-AFAB8CE37725}"/>
              </a:ext>
            </a:extLst>
          </xdr:cNvPr>
          <xdr:cNvSpPr/>
        </xdr:nvSpPr>
        <xdr:spPr>
          <a:xfrm>
            <a:off x="0" y="323089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0" name="Freihandform: Form 169">
            <a:extLst>
              <a:ext uri="{FF2B5EF4-FFF2-40B4-BE49-F238E27FC236}">
                <a16:creationId xmlns:a16="http://schemas.microsoft.com/office/drawing/2014/main" id="{1CEDAF8C-E23A-B37A-0707-BCDC5040C553}"/>
              </a:ext>
            </a:extLst>
          </xdr:cNvPr>
          <xdr:cNvSpPr/>
        </xdr:nvSpPr>
        <xdr:spPr>
          <a:xfrm>
            <a:off x="0" y="486156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1" name="Freihandform: Form 170">
            <a:extLst>
              <a:ext uri="{FF2B5EF4-FFF2-40B4-BE49-F238E27FC236}">
                <a16:creationId xmlns:a16="http://schemas.microsoft.com/office/drawing/2014/main" id="{01086C3E-9F35-C7EB-65AB-D358453EBA71}"/>
              </a:ext>
            </a:extLst>
          </xdr:cNvPr>
          <xdr:cNvSpPr/>
        </xdr:nvSpPr>
        <xdr:spPr>
          <a:xfrm>
            <a:off x="0" y="64770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2" name="Freihandform: Form 171">
            <a:extLst>
              <a:ext uri="{FF2B5EF4-FFF2-40B4-BE49-F238E27FC236}">
                <a16:creationId xmlns:a16="http://schemas.microsoft.com/office/drawing/2014/main" id="{587AE07B-27AC-F75B-BD4A-5E353C8FE665}"/>
              </a:ext>
            </a:extLst>
          </xdr:cNvPr>
          <xdr:cNvSpPr/>
        </xdr:nvSpPr>
        <xdr:spPr>
          <a:xfrm>
            <a:off x="0" y="809245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3" name="Freihandform: Form 172">
            <a:extLst>
              <a:ext uri="{FF2B5EF4-FFF2-40B4-BE49-F238E27FC236}">
                <a16:creationId xmlns:a16="http://schemas.microsoft.com/office/drawing/2014/main" id="{474DC6D2-F824-9784-709F-F47853B50036}"/>
              </a:ext>
            </a:extLst>
          </xdr:cNvPr>
          <xdr:cNvSpPr/>
        </xdr:nvSpPr>
        <xdr:spPr>
          <a:xfrm>
            <a:off x="0" y="970789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4" name="Freihandform: Form 173">
            <a:extLst>
              <a:ext uri="{FF2B5EF4-FFF2-40B4-BE49-F238E27FC236}">
                <a16:creationId xmlns:a16="http://schemas.microsoft.com/office/drawing/2014/main" id="{0B40671A-7D02-FDB5-8DD3-DEAC3ABF2D47}"/>
              </a:ext>
            </a:extLst>
          </xdr:cNvPr>
          <xdr:cNvSpPr/>
        </xdr:nvSpPr>
        <xdr:spPr>
          <a:xfrm>
            <a:off x="683006" y="970789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5" name="Freihandform: Form 174">
            <a:extLst>
              <a:ext uri="{FF2B5EF4-FFF2-40B4-BE49-F238E27FC236}">
                <a16:creationId xmlns:a16="http://schemas.microsoft.com/office/drawing/2014/main" id="{A8A185AA-A3C0-AB86-B382-4CD681DA39A0}"/>
              </a:ext>
            </a:extLst>
          </xdr:cNvPr>
          <xdr:cNvSpPr/>
        </xdr:nvSpPr>
        <xdr:spPr>
          <a:xfrm>
            <a:off x="1367281" y="970789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6" name="Freihandform: Form 175">
            <a:extLst>
              <a:ext uri="{FF2B5EF4-FFF2-40B4-BE49-F238E27FC236}">
                <a16:creationId xmlns:a16="http://schemas.microsoft.com/office/drawing/2014/main" id="{82CFA6F0-71FF-5343-2A3F-84CE929BB7CF}"/>
              </a:ext>
            </a:extLst>
          </xdr:cNvPr>
          <xdr:cNvSpPr/>
        </xdr:nvSpPr>
        <xdr:spPr>
          <a:xfrm>
            <a:off x="0" y="113411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7" name="Freihandform: Form 176">
            <a:extLst>
              <a:ext uri="{FF2B5EF4-FFF2-40B4-BE49-F238E27FC236}">
                <a16:creationId xmlns:a16="http://schemas.microsoft.com/office/drawing/2014/main" id="{4FBB39D7-C300-68B7-4876-B76EBC52F651}"/>
              </a:ext>
            </a:extLst>
          </xdr:cNvPr>
          <xdr:cNvSpPr/>
        </xdr:nvSpPr>
        <xdr:spPr>
          <a:xfrm>
            <a:off x="683006" y="113411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8" name="Freihandform: Form 177">
            <a:extLst>
              <a:ext uri="{FF2B5EF4-FFF2-40B4-BE49-F238E27FC236}">
                <a16:creationId xmlns:a16="http://schemas.microsoft.com/office/drawing/2014/main" id="{5970AF4F-AF9E-857F-01E6-C0270AE456E7}"/>
              </a:ext>
            </a:extLst>
          </xdr:cNvPr>
          <xdr:cNvSpPr/>
        </xdr:nvSpPr>
        <xdr:spPr>
          <a:xfrm>
            <a:off x="1367281" y="113411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79" name="Freihandform: Form 178">
            <a:extLst>
              <a:ext uri="{FF2B5EF4-FFF2-40B4-BE49-F238E27FC236}">
                <a16:creationId xmlns:a16="http://schemas.microsoft.com/office/drawing/2014/main" id="{C6338D89-CD57-28F5-0836-A72987D3F775}"/>
              </a:ext>
            </a:extLst>
          </xdr:cNvPr>
          <xdr:cNvSpPr/>
        </xdr:nvSpPr>
        <xdr:spPr>
          <a:xfrm>
            <a:off x="0" y="1295654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0" name="Freihandform: Form 179">
            <a:extLst>
              <a:ext uri="{FF2B5EF4-FFF2-40B4-BE49-F238E27FC236}">
                <a16:creationId xmlns:a16="http://schemas.microsoft.com/office/drawing/2014/main" id="{58E76BA3-BF43-1E11-CB3E-766E27F2351E}"/>
              </a:ext>
            </a:extLst>
          </xdr:cNvPr>
          <xdr:cNvSpPr/>
        </xdr:nvSpPr>
        <xdr:spPr>
          <a:xfrm>
            <a:off x="683006" y="1295654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1" name="Freihandform: Form 180">
            <a:extLst>
              <a:ext uri="{FF2B5EF4-FFF2-40B4-BE49-F238E27FC236}">
                <a16:creationId xmlns:a16="http://schemas.microsoft.com/office/drawing/2014/main" id="{B78C904A-185B-4346-286A-F3E5DE670F51}"/>
              </a:ext>
            </a:extLst>
          </xdr:cNvPr>
          <xdr:cNvSpPr/>
        </xdr:nvSpPr>
        <xdr:spPr>
          <a:xfrm>
            <a:off x="1367281" y="1295654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2" name="Freihandform: Form 181">
            <a:extLst>
              <a:ext uri="{FF2B5EF4-FFF2-40B4-BE49-F238E27FC236}">
                <a16:creationId xmlns:a16="http://schemas.microsoft.com/office/drawing/2014/main" id="{180D76C2-495D-38BC-D23A-B250570CDBA6}"/>
              </a:ext>
            </a:extLst>
          </xdr:cNvPr>
          <xdr:cNvSpPr/>
        </xdr:nvSpPr>
        <xdr:spPr>
          <a:xfrm>
            <a:off x="2051938" y="1295654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3" name="Freihandform: Form 182">
            <a:extLst>
              <a:ext uri="{FF2B5EF4-FFF2-40B4-BE49-F238E27FC236}">
                <a16:creationId xmlns:a16="http://schemas.microsoft.com/office/drawing/2014/main" id="{89F4A7CB-A8E2-FCC4-6BEC-380DA87AED42}"/>
              </a:ext>
            </a:extLst>
          </xdr:cNvPr>
          <xdr:cNvSpPr/>
        </xdr:nvSpPr>
        <xdr:spPr>
          <a:xfrm>
            <a:off x="2736214" y="1295654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4" name="Freihandform: Form 183">
            <a:extLst>
              <a:ext uri="{FF2B5EF4-FFF2-40B4-BE49-F238E27FC236}">
                <a16:creationId xmlns:a16="http://schemas.microsoft.com/office/drawing/2014/main" id="{C9E8BA14-00CE-2A36-63EE-032499E82B2F}"/>
              </a:ext>
            </a:extLst>
          </xdr:cNvPr>
          <xdr:cNvSpPr/>
        </xdr:nvSpPr>
        <xdr:spPr>
          <a:xfrm>
            <a:off x="0" y="1457198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5" name="Freihandform: Form 184">
            <a:extLst>
              <a:ext uri="{FF2B5EF4-FFF2-40B4-BE49-F238E27FC236}">
                <a16:creationId xmlns:a16="http://schemas.microsoft.com/office/drawing/2014/main" id="{B453A821-C22D-D27F-E4EA-5B882973C98D}"/>
              </a:ext>
            </a:extLst>
          </xdr:cNvPr>
          <xdr:cNvSpPr/>
        </xdr:nvSpPr>
        <xdr:spPr>
          <a:xfrm>
            <a:off x="683006" y="1457198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6" name="Freihandform: Form 185">
            <a:extLst>
              <a:ext uri="{FF2B5EF4-FFF2-40B4-BE49-F238E27FC236}">
                <a16:creationId xmlns:a16="http://schemas.microsoft.com/office/drawing/2014/main" id="{2C4D14B7-07C8-2D2D-EB33-E000B7DA71A8}"/>
              </a:ext>
            </a:extLst>
          </xdr:cNvPr>
          <xdr:cNvSpPr/>
        </xdr:nvSpPr>
        <xdr:spPr>
          <a:xfrm>
            <a:off x="1367281" y="1457198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7" name="Freihandform: Form 186">
            <a:extLst>
              <a:ext uri="{FF2B5EF4-FFF2-40B4-BE49-F238E27FC236}">
                <a16:creationId xmlns:a16="http://schemas.microsoft.com/office/drawing/2014/main" id="{E29DDDBD-17A0-5001-20F0-ABC66F9E4738}"/>
              </a:ext>
            </a:extLst>
          </xdr:cNvPr>
          <xdr:cNvSpPr/>
        </xdr:nvSpPr>
        <xdr:spPr>
          <a:xfrm>
            <a:off x="2051938" y="1457198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8" name="Freihandform: Form 187">
            <a:extLst>
              <a:ext uri="{FF2B5EF4-FFF2-40B4-BE49-F238E27FC236}">
                <a16:creationId xmlns:a16="http://schemas.microsoft.com/office/drawing/2014/main" id="{2EC54513-0525-002A-D2D3-42997C725D5C}"/>
              </a:ext>
            </a:extLst>
          </xdr:cNvPr>
          <xdr:cNvSpPr/>
        </xdr:nvSpPr>
        <xdr:spPr>
          <a:xfrm>
            <a:off x="2736214" y="1457198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89" name="Freihandform: Form 188">
            <a:extLst>
              <a:ext uri="{FF2B5EF4-FFF2-40B4-BE49-F238E27FC236}">
                <a16:creationId xmlns:a16="http://schemas.microsoft.com/office/drawing/2014/main" id="{3DFC0B90-7547-5B2E-D80F-FE2E4DF4236A}"/>
              </a:ext>
            </a:extLst>
          </xdr:cNvPr>
          <xdr:cNvSpPr/>
        </xdr:nvSpPr>
        <xdr:spPr>
          <a:xfrm>
            <a:off x="0" y="1618742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90" name="Freihandform: Form 189">
            <a:extLst>
              <a:ext uri="{FF2B5EF4-FFF2-40B4-BE49-F238E27FC236}">
                <a16:creationId xmlns:a16="http://schemas.microsoft.com/office/drawing/2014/main" id="{8AF4165D-0641-17A8-3A12-B74EC1295827}"/>
              </a:ext>
            </a:extLst>
          </xdr:cNvPr>
          <xdr:cNvSpPr/>
        </xdr:nvSpPr>
        <xdr:spPr>
          <a:xfrm>
            <a:off x="683006" y="1618742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91" name="Freihandform: Form 190">
            <a:extLst>
              <a:ext uri="{FF2B5EF4-FFF2-40B4-BE49-F238E27FC236}">
                <a16:creationId xmlns:a16="http://schemas.microsoft.com/office/drawing/2014/main" id="{749F434A-BA61-4738-F69E-19D21BE5222E}"/>
              </a:ext>
            </a:extLst>
          </xdr:cNvPr>
          <xdr:cNvSpPr/>
        </xdr:nvSpPr>
        <xdr:spPr>
          <a:xfrm>
            <a:off x="1367281" y="1618742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92" name="Freihandform: Form 191">
            <a:extLst>
              <a:ext uri="{FF2B5EF4-FFF2-40B4-BE49-F238E27FC236}">
                <a16:creationId xmlns:a16="http://schemas.microsoft.com/office/drawing/2014/main" id="{8F886EE2-9AC0-53EB-46CE-8B493D5AA151}"/>
              </a:ext>
            </a:extLst>
          </xdr:cNvPr>
          <xdr:cNvSpPr/>
        </xdr:nvSpPr>
        <xdr:spPr>
          <a:xfrm>
            <a:off x="2051938" y="1618742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93" name="Freihandform: Form 192">
            <a:extLst>
              <a:ext uri="{FF2B5EF4-FFF2-40B4-BE49-F238E27FC236}">
                <a16:creationId xmlns:a16="http://schemas.microsoft.com/office/drawing/2014/main" id="{CB72FCA9-C6D1-4B96-AAE2-3BAAF56EBA97}"/>
              </a:ext>
            </a:extLst>
          </xdr:cNvPr>
          <xdr:cNvSpPr/>
        </xdr:nvSpPr>
        <xdr:spPr>
          <a:xfrm>
            <a:off x="2736214" y="1618742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94" name="Freihandform: Form 193">
            <a:extLst>
              <a:ext uri="{FF2B5EF4-FFF2-40B4-BE49-F238E27FC236}">
                <a16:creationId xmlns:a16="http://schemas.microsoft.com/office/drawing/2014/main" id="{223F9E7C-3E64-27CF-0123-64310BAEE9B2}"/>
              </a:ext>
            </a:extLst>
          </xdr:cNvPr>
          <xdr:cNvSpPr/>
        </xdr:nvSpPr>
        <xdr:spPr>
          <a:xfrm>
            <a:off x="3409823" y="1618742"/>
            <a:ext cx="9143" cy="9144"/>
          </a:xfrm>
          <a:custGeom>
            <a:avLst/>
            <a:gdLst/>
            <a:ahLst/>
            <a:cxnLst/>
            <a:rect l="l" t="t" r="r" b="b"/>
            <a:pathLst>
              <a:path w="9143" h="9144">
                <a:moveTo>
                  <a:pt x="0" y="9144"/>
                </a:moveTo>
                <a:lnTo>
                  <a:pt x="9143" y="9144"/>
                </a:lnTo>
                <a:lnTo>
                  <a:pt x="9143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7</xdr:col>
      <xdr:colOff>314325</xdr:colOff>
      <xdr:row>18</xdr:row>
      <xdr:rowOff>0</xdr:rowOff>
    </xdr:from>
    <xdr:to>
      <xdr:col>7</xdr:col>
      <xdr:colOff>323215</xdr:colOff>
      <xdr:row>18</xdr:row>
      <xdr:rowOff>8890</xdr:rowOff>
    </xdr:to>
    <xdr:sp macro="" textlink="">
      <xdr:nvSpPr>
        <xdr:cNvPr id="195" name="Freeform 242">
          <a:extLst>
            <a:ext uri="{FF2B5EF4-FFF2-40B4-BE49-F238E27FC236}">
              <a16:creationId xmlns:a16="http://schemas.microsoft.com/office/drawing/2014/main" id="{F2D06B62-D16F-AFA2-1B8B-BBD1F8820FC6}"/>
            </a:ext>
          </a:extLst>
        </xdr:cNvPr>
        <xdr:cNvSpPr/>
      </xdr:nvSpPr>
      <xdr:spPr>
        <a:xfrm>
          <a:off x="6802120" y="380428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18</xdr:row>
      <xdr:rowOff>219075</xdr:rowOff>
    </xdr:from>
    <xdr:to>
      <xdr:col>0</xdr:col>
      <xdr:colOff>27305</xdr:colOff>
      <xdr:row>18</xdr:row>
      <xdr:rowOff>227965</xdr:rowOff>
    </xdr:to>
    <xdr:grpSp>
      <xdr:nvGrpSpPr>
        <xdr:cNvPr id="196" name="Freeform 243">
          <a:extLst>
            <a:ext uri="{FF2B5EF4-FFF2-40B4-BE49-F238E27FC236}">
              <a16:creationId xmlns:a16="http://schemas.microsoft.com/office/drawing/2014/main" id="{F77274E3-F35C-AE48-B91C-4034143C2BBA}"/>
            </a:ext>
          </a:extLst>
        </xdr:cNvPr>
        <xdr:cNvGrpSpPr/>
      </xdr:nvGrpSpPr>
      <xdr:grpSpPr>
        <a:xfrm>
          <a:off x="0" y="3895311"/>
          <a:ext cx="27305" cy="0"/>
          <a:chOff x="0" y="0"/>
          <a:chExt cx="27432" cy="9144"/>
        </a:xfrm>
      </xdr:grpSpPr>
      <xdr:sp macro="" textlink="">
        <xdr:nvSpPr>
          <xdr:cNvPr id="197" name="Freihandform: Form 196">
            <a:extLst>
              <a:ext uri="{FF2B5EF4-FFF2-40B4-BE49-F238E27FC236}">
                <a16:creationId xmlns:a16="http://schemas.microsoft.com/office/drawing/2014/main" id="{78E8B4AD-EADD-245D-1277-D3F6045AC72D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198" name="Freihandform: Form 197">
            <a:extLst>
              <a:ext uri="{FF2B5EF4-FFF2-40B4-BE49-F238E27FC236}">
                <a16:creationId xmlns:a16="http://schemas.microsoft.com/office/drawing/2014/main" id="{10B6B54A-6ABC-D70E-32DF-15AED2A5CE94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7</xdr:col>
      <xdr:colOff>314325</xdr:colOff>
      <xdr:row>19</xdr:row>
      <xdr:rowOff>0</xdr:rowOff>
    </xdr:from>
    <xdr:to>
      <xdr:col>7</xdr:col>
      <xdr:colOff>323215</xdr:colOff>
      <xdr:row>19</xdr:row>
      <xdr:rowOff>8890</xdr:rowOff>
    </xdr:to>
    <xdr:sp macro="" textlink="">
      <xdr:nvSpPr>
        <xdr:cNvPr id="199" name="Freeform 245">
          <a:extLst>
            <a:ext uri="{FF2B5EF4-FFF2-40B4-BE49-F238E27FC236}">
              <a16:creationId xmlns:a16="http://schemas.microsoft.com/office/drawing/2014/main" id="{338F7FD0-4348-BB90-1823-5548EAE448EC}"/>
            </a:ext>
          </a:extLst>
        </xdr:cNvPr>
        <xdr:cNvSpPr/>
      </xdr:nvSpPr>
      <xdr:spPr>
        <a:xfrm>
          <a:off x="6802120" y="39528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19</xdr:row>
      <xdr:rowOff>219075</xdr:rowOff>
    </xdr:from>
    <xdr:to>
      <xdr:col>0</xdr:col>
      <xdr:colOff>27305</xdr:colOff>
      <xdr:row>19</xdr:row>
      <xdr:rowOff>227965</xdr:rowOff>
    </xdr:to>
    <xdr:grpSp>
      <xdr:nvGrpSpPr>
        <xdr:cNvPr id="200" name="Freeform 246">
          <a:extLst>
            <a:ext uri="{FF2B5EF4-FFF2-40B4-BE49-F238E27FC236}">
              <a16:creationId xmlns:a16="http://schemas.microsoft.com/office/drawing/2014/main" id="{2DBA4A2D-B24B-8B0E-D42F-28BD2C5206EF}"/>
            </a:ext>
          </a:extLst>
        </xdr:cNvPr>
        <xdr:cNvGrpSpPr/>
      </xdr:nvGrpSpPr>
      <xdr:grpSpPr>
        <a:xfrm>
          <a:off x="0" y="4102376"/>
          <a:ext cx="27305" cy="0"/>
          <a:chOff x="0" y="0"/>
          <a:chExt cx="27432" cy="9144"/>
        </a:xfrm>
      </xdr:grpSpPr>
      <xdr:sp macro="" textlink="">
        <xdr:nvSpPr>
          <xdr:cNvPr id="201" name="Freihandform: Form 200">
            <a:extLst>
              <a:ext uri="{FF2B5EF4-FFF2-40B4-BE49-F238E27FC236}">
                <a16:creationId xmlns:a16="http://schemas.microsoft.com/office/drawing/2014/main" id="{BBFE7AE8-DBFE-6C76-441B-9874A51A0EF8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02" name="Freihandform: Form 201">
            <a:extLst>
              <a:ext uri="{FF2B5EF4-FFF2-40B4-BE49-F238E27FC236}">
                <a16:creationId xmlns:a16="http://schemas.microsoft.com/office/drawing/2014/main" id="{3278FB4C-AB5B-754F-C06C-0B106D5ABD57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7</xdr:col>
      <xdr:colOff>314325</xdr:colOff>
      <xdr:row>20</xdr:row>
      <xdr:rowOff>0</xdr:rowOff>
    </xdr:from>
    <xdr:to>
      <xdr:col>7</xdr:col>
      <xdr:colOff>323215</xdr:colOff>
      <xdr:row>20</xdr:row>
      <xdr:rowOff>8890</xdr:rowOff>
    </xdr:to>
    <xdr:sp macro="" textlink="">
      <xdr:nvSpPr>
        <xdr:cNvPr id="203" name="Freeform 248">
          <a:extLst>
            <a:ext uri="{FF2B5EF4-FFF2-40B4-BE49-F238E27FC236}">
              <a16:creationId xmlns:a16="http://schemas.microsoft.com/office/drawing/2014/main" id="{75D24F02-2D1F-D0AE-B44E-121674DD31C1}"/>
            </a:ext>
          </a:extLst>
        </xdr:cNvPr>
        <xdr:cNvSpPr/>
      </xdr:nvSpPr>
      <xdr:spPr>
        <a:xfrm>
          <a:off x="6802120" y="410146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20</xdr:row>
      <xdr:rowOff>219075</xdr:rowOff>
    </xdr:from>
    <xdr:to>
      <xdr:col>0</xdr:col>
      <xdr:colOff>27305</xdr:colOff>
      <xdr:row>20</xdr:row>
      <xdr:rowOff>227965</xdr:rowOff>
    </xdr:to>
    <xdr:grpSp>
      <xdr:nvGrpSpPr>
        <xdr:cNvPr id="204" name="Freeform 249">
          <a:extLst>
            <a:ext uri="{FF2B5EF4-FFF2-40B4-BE49-F238E27FC236}">
              <a16:creationId xmlns:a16="http://schemas.microsoft.com/office/drawing/2014/main" id="{C05E9324-2BF0-7E9A-4282-6F86052E2CEA}"/>
            </a:ext>
          </a:extLst>
        </xdr:cNvPr>
        <xdr:cNvGrpSpPr/>
      </xdr:nvGrpSpPr>
      <xdr:grpSpPr>
        <a:xfrm>
          <a:off x="0" y="4309441"/>
          <a:ext cx="27305" cy="0"/>
          <a:chOff x="0" y="0"/>
          <a:chExt cx="27432" cy="9144"/>
        </a:xfrm>
      </xdr:grpSpPr>
      <xdr:sp macro="" textlink="">
        <xdr:nvSpPr>
          <xdr:cNvPr id="205" name="Freihandform: Form 204">
            <a:extLst>
              <a:ext uri="{FF2B5EF4-FFF2-40B4-BE49-F238E27FC236}">
                <a16:creationId xmlns:a16="http://schemas.microsoft.com/office/drawing/2014/main" id="{9B95F3FF-A7A8-5CFE-9CD2-F68770D6D96B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06" name="Freihandform: Form 205">
            <a:extLst>
              <a:ext uri="{FF2B5EF4-FFF2-40B4-BE49-F238E27FC236}">
                <a16:creationId xmlns:a16="http://schemas.microsoft.com/office/drawing/2014/main" id="{3EB91465-7823-EFDB-2559-3C8D981057F2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7</xdr:col>
      <xdr:colOff>314325</xdr:colOff>
      <xdr:row>21</xdr:row>
      <xdr:rowOff>0</xdr:rowOff>
    </xdr:from>
    <xdr:to>
      <xdr:col>7</xdr:col>
      <xdr:colOff>323215</xdr:colOff>
      <xdr:row>21</xdr:row>
      <xdr:rowOff>8890</xdr:rowOff>
    </xdr:to>
    <xdr:sp macro="" textlink="">
      <xdr:nvSpPr>
        <xdr:cNvPr id="207" name="Freeform 251">
          <a:extLst>
            <a:ext uri="{FF2B5EF4-FFF2-40B4-BE49-F238E27FC236}">
              <a16:creationId xmlns:a16="http://schemas.microsoft.com/office/drawing/2014/main" id="{4D542E71-2AC7-62A8-3D72-C609CB1B00EC}"/>
            </a:ext>
          </a:extLst>
        </xdr:cNvPr>
        <xdr:cNvSpPr/>
      </xdr:nvSpPr>
      <xdr:spPr>
        <a:xfrm>
          <a:off x="6802120" y="42513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21</xdr:row>
      <xdr:rowOff>219075</xdr:rowOff>
    </xdr:from>
    <xdr:to>
      <xdr:col>0</xdr:col>
      <xdr:colOff>27305</xdr:colOff>
      <xdr:row>21</xdr:row>
      <xdr:rowOff>227965</xdr:rowOff>
    </xdr:to>
    <xdr:grpSp>
      <xdr:nvGrpSpPr>
        <xdr:cNvPr id="208" name="Freeform 252">
          <a:extLst>
            <a:ext uri="{FF2B5EF4-FFF2-40B4-BE49-F238E27FC236}">
              <a16:creationId xmlns:a16="http://schemas.microsoft.com/office/drawing/2014/main" id="{7BD581BE-0851-2A0D-8B13-7A2DAE6121F6}"/>
            </a:ext>
          </a:extLst>
        </xdr:cNvPr>
        <xdr:cNvGrpSpPr/>
      </xdr:nvGrpSpPr>
      <xdr:grpSpPr>
        <a:xfrm>
          <a:off x="0" y="4516507"/>
          <a:ext cx="27305" cy="0"/>
          <a:chOff x="0" y="0"/>
          <a:chExt cx="27432" cy="9144"/>
        </a:xfrm>
      </xdr:grpSpPr>
      <xdr:sp macro="" textlink="">
        <xdr:nvSpPr>
          <xdr:cNvPr id="209" name="Freihandform: Form 208">
            <a:extLst>
              <a:ext uri="{FF2B5EF4-FFF2-40B4-BE49-F238E27FC236}">
                <a16:creationId xmlns:a16="http://schemas.microsoft.com/office/drawing/2014/main" id="{0EC207F4-C2E4-72B0-02A1-25D4EB2F7B02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10" name="Freihandform: Form 209">
            <a:extLst>
              <a:ext uri="{FF2B5EF4-FFF2-40B4-BE49-F238E27FC236}">
                <a16:creationId xmlns:a16="http://schemas.microsoft.com/office/drawing/2014/main" id="{C7C5F82F-B756-0D7F-9124-8374DA8E2C5B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7</xdr:col>
      <xdr:colOff>314325</xdr:colOff>
      <xdr:row>22</xdr:row>
      <xdr:rowOff>0</xdr:rowOff>
    </xdr:from>
    <xdr:to>
      <xdr:col>7</xdr:col>
      <xdr:colOff>323215</xdr:colOff>
      <xdr:row>22</xdr:row>
      <xdr:rowOff>8890</xdr:rowOff>
    </xdr:to>
    <xdr:sp macro="" textlink="">
      <xdr:nvSpPr>
        <xdr:cNvPr id="211" name="Freeform 254">
          <a:extLst>
            <a:ext uri="{FF2B5EF4-FFF2-40B4-BE49-F238E27FC236}">
              <a16:creationId xmlns:a16="http://schemas.microsoft.com/office/drawing/2014/main" id="{67556794-495C-9440-1C84-3BBE022017FF}"/>
            </a:ext>
          </a:extLst>
        </xdr:cNvPr>
        <xdr:cNvSpPr/>
      </xdr:nvSpPr>
      <xdr:spPr>
        <a:xfrm>
          <a:off x="6802120" y="439991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22</xdr:row>
      <xdr:rowOff>219075</xdr:rowOff>
    </xdr:from>
    <xdr:to>
      <xdr:col>0</xdr:col>
      <xdr:colOff>27305</xdr:colOff>
      <xdr:row>22</xdr:row>
      <xdr:rowOff>227965</xdr:rowOff>
    </xdr:to>
    <xdr:grpSp>
      <xdr:nvGrpSpPr>
        <xdr:cNvPr id="212" name="Freeform 255">
          <a:extLst>
            <a:ext uri="{FF2B5EF4-FFF2-40B4-BE49-F238E27FC236}">
              <a16:creationId xmlns:a16="http://schemas.microsoft.com/office/drawing/2014/main" id="{A84D8984-642F-24D3-0557-B7BE4035BC58}"/>
            </a:ext>
          </a:extLst>
        </xdr:cNvPr>
        <xdr:cNvGrpSpPr/>
      </xdr:nvGrpSpPr>
      <xdr:grpSpPr>
        <a:xfrm>
          <a:off x="0" y="4723572"/>
          <a:ext cx="27305" cy="0"/>
          <a:chOff x="0" y="0"/>
          <a:chExt cx="27432" cy="9144"/>
        </a:xfrm>
      </xdr:grpSpPr>
      <xdr:sp macro="" textlink="">
        <xdr:nvSpPr>
          <xdr:cNvPr id="213" name="Freihandform: Form 212">
            <a:extLst>
              <a:ext uri="{FF2B5EF4-FFF2-40B4-BE49-F238E27FC236}">
                <a16:creationId xmlns:a16="http://schemas.microsoft.com/office/drawing/2014/main" id="{5B2FDB12-75DD-ABE1-2322-38573F2C40B9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14" name="Freihandform: Form 213">
            <a:extLst>
              <a:ext uri="{FF2B5EF4-FFF2-40B4-BE49-F238E27FC236}">
                <a16:creationId xmlns:a16="http://schemas.microsoft.com/office/drawing/2014/main" id="{FB36124B-3A3F-8F42-4095-68D106FB996D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7</xdr:col>
      <xdr:colOff>314325</xdr:colOff>
      <xdr:row>23</xdr:row>
      <xdr:rowOff>0</xdr:rowOff>
    </xdr:from>
    <xdr:to>
      <xdr:col>7</xdr:col>
      <xdr:colOff>323215</xdr:colOff>
      <xdr:row>23</xdr:row>
      <xdr:rowOff>8890</xdr:rowOff>
    </xdr:to>
    <xdr:sp macro="" textlink="">
      <xdr:nvSpPr>
        <xdr:cNvPr id="215" name="Freeform 257">
          <a:extLst>
            <a:ext uri="{FF2B5EF4-FFF2-40B4-BE49-F238E27FC236}">
              <a16:creationId xmlns:a16="http://schemas.microsoft.com/office/drawing/2014/main" id="{42C400A5-4B56-CDE2-D4A6-32B5923D68E0}"/>
            </a:ext>
          </a:extLst>
        </xdr:cNvPr>
        <xdr:cNvSpPr/>
      </xdr:nvSpPr>
      <xdr:spPr>
        <a:xfrm>
          <a:off x="6802120" y="454850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23</xdr:row>
      <xdr:rowOff>219075</xdr:rowOff>
    </xdr:from>
    <xdr:to>
      <xdr:col>0</xdr:col>
      <xdr:colOff>27305</xdr:colOff>
      <xdr:row>23</xdr:row>
      <xdr:rowOff>227965</xdr:rowOff>
    </xdr:to>
    <xdr:grpSp>
      <xdr:nvGrpSpPr>
        <xdr:cNvPr id="216" name="Freeform 258">
          <a:extLst>
            <a:ext uri="{FF2B5EF4-FFF2-40B4-BE49-F238E27FC236}">
              <a16:creationId xmlns:a16="http://schemas.microsoft.com/office/drawing/2014/main" id="{5F7003E5-DC37-671D-A368-7BC8B8BA8BEA}"/>
            </a:ext>
          </a:extLst>
        </xdr:cNvPr>
        <xdr:cNvGrpSpPr/>
      </xdr:nvGrpSpPr>
      <xdr:grpSpPr>
        <a:xfrm>
          <a:off x="0" y="4930637"/>
          <a:ext cx="27305" cy="0"/>
          <a:chOff x="0" y="0"/>
          <a:chExt cx="27432" cy="9144"/>
        </a:xfrm>
      </xdr:grpSpPr>
      <xdr:sp macro="" textlink="">
        <xdr:nvSpPr>
          <xdr:cNvPr id="217" name="Freihandform: Form 216">
            <a:extLst>
              <a:ext uri="{FF2B5EF4-FFF2-40B4-BE49-F238E27FC236}">
                <a16:creationId xmlns:a16="http://schemas.microsoft.com/office/drawing/2014/main" id="{DF2C9741-61A8-96FC-DA5B-5CA17FF6E765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18" name="Freihandform: Form 217">
            <a:extLst>
              <a:ext uri="{FF2B5EF4-FFF2-40B4-BE49-F238E27FC236}">
                <a16:creationId xmlns:a16="http://schemas.microsoft.com/office/drawing/2014/main" id="{09CCEF0C-1269-3302-678A-979F76223EA9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7</xdr:col>
      <xdr:colOff>638175</xdr:colOff>
      <xdr:row>24</xdr:row>
      <xdr:rowOff>76200</xdr:rowOff>
    </xdr:from>
    <xdr:to>
      <xdr:col>7</xdr:col>
      <xdr:colOff>647065</xdr:colOff>
      <xdr:row>24</xdr:row>
      <xdr:rowOff>85090</xdr:rowOff>
    </xdr:to>
    <xdr:sp macro="" textlink="">
      <xdr:nvSpPr>
        <xdr:cNvPr id="219" name="Freeform 263">
          <a:extLst>
            <a:ext uri="{FF2B5EF4-FFF2-40B4-BE49-F238E27FC236}">
              <a16:creationId xmlns:a16="http://schemas.microsoft.com/office/drawing/2014/main" id="{EFD7BC78-BBDE-C391-E44D-D1FE0F94EDAD}"/>
            </a:ext>
          </a:extLst>
        </xdr:cNvPr>
        <xdr:cNvSpPr/>
      </xdr:nvSpPr>
      <xdr:spPr>
        <a:xfrm>
          <a:off x="5440045" y="468439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9</xdr:col>
      <xdr:colOff>619125</xdr:colOff>
      <xdr:row>24</xdr:row>
      <xdr:rowOff>0</xdr:rowOff>
    </xdr:from>
    <xdr:to>
      <xdr:col>9</xdr:col>
      <xdr:colOff>628015</xdr:colOff>
      <xdr:row>24</xdr:row>
      <xdr:rowOff>8890</xdr:rowOff>
    </xdr:to>
    <xdr:sp macro="" textlink="">
      <xdr:nvSpPr>
        <xdr:cNvPr id="221" name="Freeform 260">
          <a:extLst>
            <a:ext uri="{FF2B5EF4-FFF2-40B4-BE49-F238E27FC236}">
              <a16:creationId xmlns:a16="http://schemas.microsoft.com/office/drawing/2014/main" id="{19584716-3B2C-2A9B-3075-529A0A6CBFA4}"/>
            </a:ext>
          </a:extLst>
        </xdr:cNvPr>
        <xdr:cNvSpPr/>
      </xdr:nvSpPr>
      <xdr:spPr>
        <a:xfrm>
          <a:off x="6793865" y="469709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24</xdr:row>
      <xdr:rowOff>219075</xdr:rowOff>
    </xdr:from>
    <xdr:to>
      <xdr:col>0</xdr:col>
      <xdr:colOff>27305</xdr:colOff>
      <xdr:row>24</xdr:row>
      <xdr:rowOff>227965</xdr:rowOff>
    </xdr:to>
    <xdr:grpSp>
      <xdr:nvGrpSpPr>
        <xdr:cNvPr id="222" name="Freeform 261">
          <a:extLst>
            <a:ext uri="{FF2B5EF4-FFF2-40B4-BE49-F238E27FC236}">
              <a16:creationId xmlns:a16="http://schemas.microsoft.com/office/drawing/2014/main" id="{346A983E-F305-E7C6-4EF6-256236F7F81A}"/>
            </a:ext>
          </a:extLst>
        </xdr:cNvPr>
        <xdr:cNvGrpSpPr/>
      </xdr:nvGrpSpPr>
      <xdr:grpSpPr>
        <a:xfrm>
          <a:off x="0" y="5137702"/>
          <a:ext cx="27305" cy="0"/>
          <a:chOff x="0" y="0"/>
          <a:chExt cx="27432" cy="9144"/>
        </a:xfrm>
      </xdr:grpSpPr>
      <xdr:sp macro="" textlink="">
        <xdr:nvSpPr>
          <xdr:cNvPr id="223" name="Freihandform: Form 222">
            <a:extLst>
              <a:ext uri="{FF2B5EF4-FFF2-40B4-BE49-F238E27FC236}">
                <a16:creationId xmlns:a16="http://schemas.microsoft.com/office/drawing/2014/main" id="{72B41475-51BF-A405-D92D-8F13D72CD746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24" name="Freihandform: Form 223">
            <a:extLst>
              <a:ext uri="{FF2B5EF4-FFF2-40B4-BE49-F238E27FC236}">
                <a16:creationId xmlns:a16="http://schemas.microsoft.com/office/drawing/2014/main" id="{67E3EF6A-0465-1BDA-9D44-FA80C876AB3A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7</xdr:col>
      <xdr:colOff>638175</xdr:colOff>
      <xdr:row>25</xdr:row>
      <xdr:rowOff>0</xdr:rowOff>
    </xdr:from>
    <xdr:to>
      <xdr:col>7</xdr:col>
      <xdr:colOff>647065</xdr:colOff>
      <xdr:row>25</xdr:row>
      <xdr:rowOff>8890</xdr:rowOff>
    </xdr:to>
    <xdr:sp macro="" textlink="">
      <xdr:nvSpPr>
        <xdr:cNvPr id="225" name="Freeform 265">
          <a:extLst>
            <a:ext uri="{FF2B5EF4-FFF2-40B4-BE49-F238E27FC236}">
              <a16:creationId xmlns:a16="http://schemas.microsoft.com/office/drawing/2014/main" id="{6A4C60FF-CEBA-746D-269B-B38F5927ADCA}"/>
            </a:ext>
          </a:extLst>
        </xdr:cNvPr>
        <xdr:cNvSpPr/>
      </xdr:nvSpPr>
      <xdr:spPr>
        <a:xfrm>
          <a:off x="5440045" y="484759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8</xdr:col>
      <xdr:colOff>466725</xdr:colOff>
      <xdr:row>25</xdr:row>
      <xdr:rowOff>0</xdr:rowOff>
    </xdr:from>
    <xdr:to>
      <xdr:col>8</xdr:col>
      <xdr:colOff>475615</xdr:colOff>
      <xdr:row>25</xdr:row>
      <xdr:rowOff>8890</xdr:rowOff>
    </xdr:to>
    <xdr:sp macro="" textlink="">
      <xdr:nvSpPr>
        <xdr:cNvPr id="227" name="Freeform 267">
          <a:extLst>
            <a:ext uri="{FF2B5EF4-FFF2-40B4-BE49-F238E27FC236}">
              <a16:creationId xmlns:a16="http://schemas.microsoft.com/office/drawing/2014/main" id="{898EE39B-036F-44B8-1D8C-F672D7DB32EE}"/>
            </a:ext>
          </a:extLst>
        </xdr:cNvPr>
        <xdr:cNvSpPr/>
      </xdr:nvSpPr>
      <xdr:spPr>
        <a:xfrm>
          <a:off x="6798310" y="484759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25</xdr:row>
      <xdr:rowOff>219075</xdr:rowOff>
    </xdr:from>
    <xdr:to>
      <xdr:col>0</xdr:col>
      <xdr:colOff>27305</xdr:colOff>
      <xdr:row>25</xdr:row>
      <xdr:rowOff>227965</xdr:rowOff>
    </xdr:to>
    <xdr:grpSp>
      <xdr:nvGrpSpPr>
        <xdr:cNvPr id="228" name="Freeform 268">
          <a:extLst>
            <a:ext uri="{FF2B5EF4-FFF2-40B4-BE49-F238E27FC236}">
              <a16:creationId xmlns:a16="http://schemas.microsoft.com/office/drawing/2014/main" id="{A4FB5FBD-CA86-376E-2CA5-A214455183FA}"/>
            </a:ext>
          </a:extLst>
        </xdr:cNvPr>
        <xdr:cNvGrpSpPr/>
      </xdr:nvGrpSpPr>
      <xdr:grpSpPr>
        <a:xfrm>
          <a:off x="0" y="5344767"/>
          <a:ext cx="27305" cy="0"/>
          <a:chOff x="0" y="0"/>
          <a:chExt cx="27432" cy="9144"/>
        </a:xfrm>
      </xdr:grpSpPr>
      <xdr:sp macro="" textlink="">
        <xdr:nvSpPr>
          <xdr:cNvPr id="229" name="Freihandform: Form 228">
            <a:extLst>
              <a:ext uri="{FF2B5EF4-FFF2-40B4-BE49-F238E27FC236}">
                <a16:creationId xmlns:a16="http://schemas.microsoft.com/office/drawing/2014/main" id="{0EBA0448-A653-9FAC-36BE-D6F9FB85FF86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30" name="Freihandform: Form 229">
            <a:extLst>
              <a:ext uri="{FF2B5EF4-FFF2-40B4-BE49-F238E27FC236}">
                <a16:creationId xmlns:a16="http://schemas.microsoft.com/office/drawing/2014/main" id="{F19F1A04-450D-83B3-9971-B45560CD391B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9</xdr:col>
      <xdr:colOff>619125</xdr:colOff>
      <xdr:row>26</xdr:row>
      <xdr:rowOff>0</xdr:rowOff>
    </xdr:from>
    <xdr:to>
      <xdr:col>9</xdr:col>
      <xdr:colOff>628015</xdr:colOff>
      <xdr:row>26</xdr:row>
      <xdr:rowOff>8890</xdr:rowOff>
    </xdr:to>
    <xdr:sp macro="" textlink="">
      <xdr:nvSpPr>
        <xdr:cNvPr id="231" name="Freeform 270">
          <a:extLst>
            <a:ext uri="{FF2B5EF4-FFF2-40B4-BE49-F238E27FC236}">
              <a16:creationId xmlns:a16="http://schemas.microsoft.com/office/drawing/2014/main" id="{0CBE018D-A32C-1395-20C5-3E414413402E}"/>
            </a:ext>
          </a:extLst>
        </xdr:cNvPr>
        <xdr:cNvSpPr/>
      </xdr:nvSpPr>
      <xdr:spPr>
        <a:xfrm>
          <a:off x="6793865" y="499618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26</xdr:row>
      <xdr:rowOff>219075</xdr:rowOff>
    </xdr:from>
    <xdr:to>
      <xdr:col>0</xdr:col>
      <xdr:colOff>27305</xdr:colOff>
      <xdr:row>26</xdr:row>
      <xdr:rowOff>227965</xdr:rowOff>
    </xdr:to>
    <xdr:grpSp>
      <xdr:nvGrpSpPr>
        <xdr:cNvPr id="232" name="Freeform 271">
          <a:extLst>
            <a:ext uri="{FF2B5EF4-FFF2-40B4-BE49-F238E27FC236}">
              <a16:creationId xmlns:a16="http://schemas.microsoft.com/office/drawing/2014/main" id="{85449D7D-F88C-8C02-3B29-D0072666876F}"/>
            </a:ext>
          </a:extLst>
        </xdr:cNvPr>
        <xdr:cNvGrpSpPr/>
      </xdr:nvGrpSpPr>
      <xdr:grpSpPr>
        <a:xfrm>
          <a:off x="0" y="5551833"/>
          <a:ext cx="27305" cy="0"/>
          <a:chOff x="0" y="0"/>
          <a:chExt cx="27432" cy="9144"/>
        </a:xfrm>
      </xdr:grpSpPr>
      <xdr:sp macro="" textlink="">
        <xdr:nvSpPr>
          <xdr:cNvPr id="233" name="Freihandform: Form 232">
            <a:extLst>
              <a:ext uri="{FF2B5EF4-FFF2-40B4-BE49-F238E27FC236}">
                <a16:creationId xmlns:a16="http://schemas.microsoft.com/office/drawing/2014/main" id="{EFA94E98-BA90-0247-0668-2632B836CB4E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34" name="Freihandform: Form 233">
            <a:extLst>
              <a:ext uri="{FF2B5EF4-FFF2-40B4-BE49-F238E27FC236}">
                <a16:creationId xmlns:a16="http://schemas.microsoft.com/office/drawing/2014/main" id="{C6EFDF33-3A3D-14BE-B48F-91E09A125F28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9</xdr:col>
      <xdr:colOff>619125</xdr:colOff>
      <xdr:row>27</xdr:row>
      <xdr:rowOff>0</xdr:rowOff>
    </xdr:from>
    <xdr:to>
      <xdr:col>9</xdr:col>
      <xdr:colOff>628015</xdr:colOff>
      <xdr:row>27</xdr:row>
      <xdr:rowOff>8890</xdr:rowOff>
    </xdr:to>
    <xdr:sp macro="" textlink="">
      <xdr:nvSpPr>
        <xdr:cNvPr id="235" name="Freeform 273">
          <a:extLst>
            <a:ext uri="{FF2B5EF4-FFF2-40B4-BE49-F238E27FC236}">
              <a16:creationId xmlns:a16="http://schemas.microsoft.com/office/drawing/2014/main" id="{1D5B18FD-F34E-D250-8B63-2EECA3A3C066}"/>
            </a:ext>
          </a:extLst>
        </xdr:cNvPr>
        <xdr:cNvSpPr/>
      </xdr:nvSpPr>
      <xdr:spPr>
        <a:xfrm>
          <a:off x="6793865" y="514477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27</xdr:row>
      <xdr:rowOff>219075</xdr:rowOff>
    </xdr:from>
    <xdr:to>
      <xdr:col>0</xdr:col>
      <xdr:colOff>27305</xdr:colOff>
      <xdr:row>27</xdr:row>
      <xdr:rowOff>227965</xdr:rowOff>
    </xdr:to>
    <xdr:grpSp>
      <xdr:nvGrpSpPr>
        <xdr:cNvPr id="236" name="Freeform 274">
          <a:extLst>
            <a:ext uri="{FF2B5EF4-FFF2-40B4-BE49-F238E27FC236}">
              <a16:creationId xmlns:a16="http://schemas.microsoft.com/office/drawing/2014/main" id="{A28130F2-B057-1973-09E1-B6150F096E66}"/>
            </a:ext>
          </a:extLst>
        </xdr:cNvPr>
        <xdr:cNvGrpSpPr/>
      </xdr:nvGrpSpPr>
      <xdr:grpSpPr>
        <a:xfrm>
          <a:off x="0" y="5758898"/>
          <a:ext cx="27305" cy="0"/>
          <a:chOff x="0" y="0"/>
          <a:chExt cx="27432" cy="9144"/>
        </a:xfrm>
      </xdr:grpSpPr>
      <xdr:sp macro="" textlink="">
        <xdr:nvSpPr>
          <xdr:cNvPr id="237" name="Freihandform: Form 236">
            <a:extLst>
              <a:ext uri="{FF2B5EF4-FFF2-40B4-BE49-F238E27FC236}">
                <a16:creationId xmlns:a16="http://schemas.microsoft.com/office/drawing/2014/main" id="{D81E3B67-54BD-4420-60A6-1D748F07AD29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38" name="Freihandform: Form 237">
            <a:extLst>
              <a:ext uri="{FF2B5EF4-FFF2-40B4-BE49-F238E27FC236}">
                <a16:creationId xmlns:a16="http://schemas.microsoft.com/office/drawing/2014/main" id="{16FB96C5-B26C-FB1D-204A-84115ECBF718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28</xdr:row>
      <xdr:rowOff>219075</xdr:rowOff>
    </xdr:from>
    <xdr:to>
      <xdr:col>0</xdr:col>
      <xdr:colOff>27305</xdr:colOff>
      <xdr:row>28</xdr:row>
      <xdr:rowOff>227965</xdr:rowOff>
    </xdr:to>
    <xdr:grpSp>
      <xdr:nvGrpSpPr>
        <xdr:cNvPr id="239" name="Freeform 304">
          <a:extLst>
            <a:ext uri="{FF2B5EF4-FFF2-40B4-BE49-F238E27FC236}">
              <a16:creationId xmlns:a16="http://schemas.microsoft.com/office/drawing/2014/main" id="{6A9A941C-04BA-EDC2-A403-083427571785}"/>
            </a:ext>
          </a:extLst>
        </xdr:cNvPr>
        <xdr:cNvGrpSpPr/>
      </xdr:nvGrpSpPr>
      <xdr:grpSpPr>
        <a:xfrm>
          <a:off x="0" y="5965963"/>
          <a:ext cx="27305" cy="0"/>
          <a:chOff x="0" y="0"/>
          <a:chExt cx="27432" cy="9144"/>
        </a:xfrm>
      </xdr:grpSpPr>
      <xdr:sp macro="" textlink="">
        <xdr:nvSpPr>
          <xdr:cNvPr id="240" name="Freihandform: Form 239">
            <a:extLst>
              <a:ext uri="{FF2B5EF4-FFF2-40B4-BE49-F238E27FC236}">
                <a16:creationId xmlns:a16="http://schemas.microsoft.com/office/drawing/2014/main" id="{B6060B46-5B92-09B7-C8CA-B2C96BD11FAB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41" name="Freihandform: Form 240">
            <a:extLst>
              <a:ext uri="{FF2B5EF4-FFF2-40B4-BE49-F238E27FC236}">
                <a16:creationId xmlns:a16="http://schemas.microsoft.com/office/drawing/2014/main" id="{75EFBF2A-DDD4-6778-33C7-25EF7DF4907D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29</xdr:row>
      <xdr:rowOff>219075</xdr:rowOff>
    </xdr:from>
    <xdr:to>
      <xdr:col>0</xdr:col>
      <xdr:colOff>27305</xdr:colOff>
      <xdr:row>29</xdr:row>
      <xdr:rowOff>227965</xdr:rowOff>
    </xdr:to>
    <xdr:grpSp>
      <xdr:nvGrpSpPr>
        <xdr:cNvPr id="243" name="Freeform 307">
          <a:extLst>
            <a:ext uri="{FF2B5EF4-FFF2-40B4-BE49-F238E27FC236}">
              <a16:creationId xmlns:a16="http://schemas.microsoft.com/office/drawing/2014/main" id="{586BA864-8A14-F893-5E74-0657F7BEBD83}"/>
            </a:ext>
          </a:extLst>
        </xdr:cNvPr>
        <xdr:cNvGrpSpPr/>
      </xdr:nvGrpSpPr>
      <xdr:grpSpPr>
        <a:xfrm>
          <a:off x="0" y="6173028"/>
          <a:ext cx="27305" cy="0"/>
          <a:chOff x="0" y="0"/>
          <a:chExt cx="27432" cy="9144"/>
        </a:xfrm>
      </xdr:grpSpPr>
      <xdr:sp macro="" textlink="">
        <xdr:nvSpPr>
          <xdr:cNvPr id="244" name="Freihandform: Form 243">
            <a:extLst>
              <a:ext uri="{FF2B5EF4-FFF2-40B4-BE49-F238E27FC236}">
                <a16:creationId xmlns:a16="http://schemas.microsoft.com/office/drawing/2014/main" id="{1F9CBC7E-876D-4E2A-3424-2CC78C5A9602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45" name="Freihandform: Form 244">
            <a:extLst>
              <a:ext uri="{FF2B5EF4-FFF2-40B4-BE49-F238E27FC236}">
                <a16:creationId xmlns:a16="http://schemas.microsoft.com/office/drawing/2014/main" id="{0CF026C4-B0E2-43DF-97EC-2525B9FC4F99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30</xdr:row>
      <xdr:rowOff>190500</xdr:rowOff>
    </xdr:from>
    <xdr:to>
      <xdr:col>0</xdr:col>
      <xdr:colOff>27305</xdr:colOff>
      <xdr:row>30</xdr:row>
      <xdr:rowOff>199390</xdr:rowOff>
    </xdr:to>
    <xdr:grpSp>
      <xdr:nvGrpSpPr>
        <xdr:cNvPr id="247" name="Freeform 310">
          <a:extLst>
            <a:ext uri="{FF2B5EF4-FFF2-40B4-BE49-F238E27FC236}">
              <a16:creationId xmlns:a16="http://schemas.microsoft.com/office/drawing/2014/main" id="{C9BB8F74-A7C9-1CEF-6C4F-39AF1159123E}"/>
            </a:ext>
          </a:extLst>
        </xdr:cNvPr>
        <xdr:cNvGrpSpPr/>
      </xdr:nvGrpSpPr>
      <xdr:grpSpPr>
        <a:xfrm>
          <a:off x="0" y="6361043"/>
          <a:ext cx="27305" cy="8890"/>
          <a:chOff x="0" y="0"/>
          <a:chExt cx="27432" cy="9144"/>
        </a:xfrm>
      </xdr:grpSpPr>
      <xdr:sp macro="" textlink="">
        <xdr:nvSpPr>
          <xdr:cNvPr id="248" name="Freihandform: Form 247">
            <a:extLst>
              <a:ext uri="{FF2B5EF4-FFF2-40B4-BE49-F238E27FC236}">
                <a16:creationId xmlns:a16="http://schemas.microsoft.com/office/drawing/2014/main" id="{012A319A-B467-873D-F641-EC2C04048B70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49" name="Freihandform: Form 248">
            <a:extLst>
              <a:ext uri="{FF2B5EF4-FFF2-40B4-BE49-F238E27FC236}">
                <a16:creationId xmlns:a16="http://schemas.microsoft.com/office/drawing/2014/main" id="{3A3B560B-69F8-599C-C470-B5F19F90EE7B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4</xdr:col>
      <xdr:colOff>638175</xdr:colOff>
      <xdr:row>31</xdr:row>
      <xdr:rowOff>76200</xdr:rowOff>
    </xdr:from>
    <xdr:to>
      <xdr:col>4</xdr:col>
      <xdr:colOff>647065</xdr:colOff>
      <xdr:row>31</xdr:row>
      <xdr:rowOff>85090</xdr:rowOff>
    </xdr:to>
    <xdr:sp macro="" textlink="">
      <xdr:nvSpPr>
        <xdr:cNvPr id="250" name="Freeform 315">
          <a:extLst>
            <a:ext uri="{FF2B5EF4-FFF2-40B4-BE49-F238E27FC236}">
              <a16:creationId xmlns:a16="http://schemas.microsoft.com/office/drawing/2014/main" id="{F262A1F3-8C41-4B6C-60C6-4A2EC744CBEF}"/>
            </a:ext>
          </a:extLst>
        </xdr:cNvPr>
        <xdr:cNvSpPr/>
      </xdr:nvSpPr>
      <xdr:spPr>
        <a:xfrm>
          <a:off x="3394075" y="572770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314325</xdr:colOff>
      <xdr:row>31</xdr:row>
      <xdr:rowOff>0</xdr:rowOff>
    </xdr:from>
    <xdr:to>
      <xdr:col>7</xdr:col>
      <xdr:colOff>323215</xdr:colOff>
      <xdr:row>31</xdr:row>
      <xdr:rowOff>8890</xdr:rowOff>
    </xdr:to>
    <xdr:sp macro="" textlink="">
      <xdr:nvSpPr>
        <xdr:cNvPr id="251" name="Freeform 312">
          <a:extLst>
            <a:ext uri="{FF2B5EF4-FFF2-40B4-BE49-F238E27FC236}">
              <a16:creationId xmlns:a16="http://schemas.microsoft.com/office/drawing/2014/main" id="{A79A77E4-E3AF-B852-806F-399C14C176BC}"/>
            </a:ext>
          </a:extLst>
        </xdr:cNvPr>
        <xdr:cNvSpPr/>
      </xdr:nvSpPr>
      <xdr:spPr>
        <a:xfrm>
          <a:off x="6802120" y="57404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31</xdr:row>
      <xdr:rowOff>219075</xdr:rowOff>
    </xdr:from>
    <xdr:to>
      <xdr:col>0</xdr:col>
      <xdr:colOff>27305</xdr:colOff>
      <xdr:row>31</xdr:row>
      <xdr:rowOff>227965</xdr:rowOff>
    </xdr:to>
    <xdr:grpSp>
      <xdr:nvGrpSpPr>
        <xdr:cNvPr id="252" name="Freeform 313">
          <a:extLst>
            <a:ext uri="{FF2B5EF4-FFF2-40B4-BE49-F238E27FC236}">
              <a16:creationId xmlns:a16="http://schemas.microsoft.com/office/drawing/2014/main" id="{B76017E2-BD93-F326-30AD-B77F6F9CC1C1}"/>
            </a:ext>
          </a:extLst>
        </xdr:cNvPr>
        <xdr:cNvGrpSpPr/>
      </xdr:nvGrpSpPr>
      <xdr:grpSpPr>
        <a:xfrm>
          <a:off x="0" y="6587159"/>
          <a:ext cx="27305" cy="0"/>
          <a:chOff x="0" y="0"/>
          <a:chExt cx="27432" cy="9144"/>
        </a:xfrm>
      </xdr:grpSpPr>
      <xdr:sp macro="" textlink="">
        <xdr:nvSpPr>
          <xdr:cNvPr id="253" name="Freihandform: Form 252">
            <a:extLst>
              <a:ext uri="{FF2B5EF4-FFF2-40B4-BE49-F238E27FC236}">
                <a16:creationId xmlns:a16="http://schemas.microsoft.com/office/drawing/2014/main" id="{BAFD2817-C6F9-A62B-6C1F-11815B33EDA9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54" name="Freihandform: Form 253">
            <a:extLst>
              <a:ext uri="{FF2B5EF4-FFF2-40B4-BE49-F238E27FC236}">
                <a16:creationId xmlns:a16="http://schemas.microsoft.com/office/drawing/2014/main" id="{40B4985E-E4E3-CCE5-A468-4E6B1FF96665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4</xdr:col>
      <xdr:colOff>638175</xdr:colOff>
      <xdr:row>32</xdr:row>
      <xdr:rowOff>0</xdr:rowOff>
    </xdr:from>
    <xdr:to>
      <xdr:col>4</xdr:col>
      <xdr:colOff>647065</xdr:colOff>
      <xdr:row>32</xdr:row>
      <xdr:rowOff>8890</xdr:rowOff>
    </xdr:to>
    <xdr:sp macro="" textlink="">
      <xdr:nvSpPr>
        <xdr:cNvPr id="255" name="Freeform 316">
          <a:extLst>
            <a:ext uri="{FF2B5EF4-FFF2-40B4-BE49-F238E27FC236}">
              <a16:creationId xmlns:a16="http://schemas.microsoft.com/office/drawing/2014/main" id="{12A49A05-6C74-9E17-47E2-3EDA018964E3}"/>
            </a:ext>
          </a:extLst>
        </xdr:cNvPr>
        <xdr:cNvSpPr/>
      </xdr:nvSpPr>
      <xdr:spPr>
        <a:xfrm>
          <a:off x="3394075" y="588899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0</xdr:col>
      <xdr:colOff>0</xdr:colOff>
      <xdr:row>32</xdr:row>
      <xdr:rowOff>190500</xdr:rowOff>
    </xdr:from>
    <xdr:to>
      <xdr:col>0</xdr:col>
      <xdr:colOff>27305</xdr:colOff>
      <xdr:row>32</xdr:row>
      <xdr:rowOff>199390</xdr:rowOff>
    </xdr:to>
    <xdr:grpSp>
      <xdr:nvGrpSpPr>
        <xdr:cNvPr id="257" name="Freeform 318">
          <a:extLst>
            <a:ext uri="{FF2B5EF4-FFF2-40B4-BE49-F238E27FC236}">
              <a16:creationId xmlns:a16="http://schemas.microsoft.com/office/drawing/2014/main" id="{DA3EE94E-2CFF-6146-27EE-D63392E4EEF9}"/>
            </a:ext>
          </a:extLst>
        </xdr:cNvPr>
        <xdr:cNvGrpSpPr/>
      </xdr:nvGrpSpPr>
      <xdr:grpSpPr>
        <a:xfrm>
          <a:off x="0" y="6775174"/>
          <a:ext cx="27305" cy="8890"/>
          <a:chOff x="0" y="0"/>
          <a:chExt cx="27432" cy="9144"/>
        </a:xfrm>
      </xdr:grpSpPr>
      <xdr:sp macro="" textlink="">
        <xdr:nvSpPr>
          <xdr:cNvPr id="258" name="Freihandform: Form 257">
            <a:extLst>
              <a:ext uri="{FF2B5EF4-FFF2-40B4-BE49-F238E27FC236}">
                <a16:creationId xmlns:a16="http://schemas.microsoft.com/office/drawing/2014/main" id="{0F9CE63A-0A90-1636-13E3-CB17FFFF6821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59" name="Freihandform: Form 258">
            <a:extLst>
              <a:ext uri="{FF2B5EF4-FFF2-40B4-BE49-F238E27FC236}">
                <a16:creationId xmlns:a16="http://schemas.microsoft.com/office/drawing/2014/main" id="{30A4F8E4-F8C2-70FE-7FA6-D3261746E1FA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  <xdr:twoCellAnchor>
    <xdr:from>
      <xdr:col>0</xdr:col>
      <xdr:colOff>0</xdr:colOff>
      <xdr:row>33</xdr:row>
      <xdr:rowOff>190500</xdr:rowOff>
    </xdr:from>
    <xdr:to>
      <xdr:col>0</xdr:col>
      <xdr:colOff>27305</xdr:colOff>
      <xdr:row>33</xdr:row>
      <xdr:rowOff>199390</xdr:rowOff>
    </xdr:to>
    <xdr:grpSp>
      <xdr:nvGrpSpPr>
        <xdr:cNvPr id="261" name="Freeform 321">
          <a:extLst>
            <a:ext uri="{FF2B5EF4-FFF2-40B4-BE49-F238E27FC236}">
              <a16:creationId xmlns:a16="http://schemas.microsoft.com/office/drawing/2014/main" id="{8ECFCF55-2529-ADD0-7D5B-3916FA42F231}"/>
            </a:ext>
          </a:extLst>
        </xdr:cNvPr>
        <xdr:cNvGrpSpPr/>
      </xdr:nvGrpSpPr>
      <xdr:grpSpPr>
        <a:xfrm>
          <a:off x="0" y="6982239"/>
          <a:ext cx="27305" cy="8890"/>
          <a:chOff x="0" y="0"/>
          <a:chExt cx="27432" cy="9144"/>
        </a:xfrm>
      </xdr:grpSpPr>
      <xdr:sp macro="" textlink="">
        <xdr:nvSpPr>
          <xdr:cNvPr id="262" name="Freihandform: Form 261">
            <a:extLst>
              <a:ext uri="{FF2B5EF4-FFF2-40B4-BE49-F238E27FC236}">
                <a16:creationId xmlns:a16="http://schemas.microsoft.com/office/drawing/2014/main" id="{74817023-F189-E659-4DF3-D23B1FDC38BB}"/>
              </a:ext>
            </a:extLst>
          </xdr:cNvPr>
          <xdr:cNvSpPr/>
        </xdr:nvSpPr>
        <xdr:spPr>
          <a:xfrm>
            <a:off x="18288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  <xdr:sp macro="" textlink="">
        <xdr:nvSpPr>
          <xdr:cNvPr id="263" name="Freihandform: Form 262">
            <a:extLst>
              <a:ext uri="{FF2B5EF4-FFF2-40B4-BE49-F238E27FC236}">
                <a16:creationId xmlns:a16="http://schemas.microsoft.com/office/drawing/2014/main" id="{AB2E472B-11F7-AC3C-2E1E-1582D7C1A594}"/>
              </a:ext>
            </a:extLst>
          </xdr:cNvPr>
          <xdr:cNvSpPr/>
        </xdr:nvSpPr>
        <xdr:spPr>
          <a:xfrm>
            <a:off x="0" y="0"/>
            <a:ext cx="9144" cy="9144"/>
          </a:xfrm>
          <a:custGeom>
            <a:avLst/>
            <a:gdLst/>
            <a:ahLst/>
            <a:cxnLst/>
            <a:rect l="l" t="t" r="r" b="b"/>
            <a:pathLst>
              <a:path w="9144" h="9144">
                <a:moveTo>
                  <a:pt x="0" y="9144"/>
                </a:moveTo>
                <a:lnTo>
                  <a:pt x="9144" y="9144"/>
                </a:lnTo>
                <a:lnTo>
                  <a:pt x="9144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>
              <a:alpha val="100000"/>
            </a:srgb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/>
          <a:lstStyle/>
          <a:p>
            <a:endParaRPr lang="de-DE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619125</xdr:colOff>
      <xdr:row>7</xdr:row>
      <xdr:rowOff>0</xdr:rowOff>
    </xdr:from>
    <xdr:to>
      <xdr:col>7</xdr:col>
      <xdr:colOff>628015</xdr:colOff>
      <xdr:row>7</xdr:row>
      <xdr:rowOff>8890</xdr:rowOff>
    </xdr:to>
    <xdr:sp macro="" textlink="">
      <xdr:nvSpPr>
        <xdr:cNvPr id="37" name="Freeform 164">
          <a:extLst>
            <a:ext uri="{FF2B5EF4-FFF2-40B4-BE49-F238E27FC236}">
              <a16:creationId xmlns:a16="http://schemas.microsoft.com/office/drawing/2014/main" id="{490EEA81-072D-4686-BCB9-12D98CD37124}"/>
            </a:ext>
          </a:extLst>
        </xdr:cNvPr>
        <xdr:cNvSpPr/>
      </xdr:nvSpPr>
      <xdr:spPr>
        <a:xfrm>
          <a:off x="8048625" y="16287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638175</xdr:colOff>
      <xdr:row>9</xdr:row>
      <xdr:rowOff>47625</xdr:rowOff>
    </xdr:from>
    <xdr:to>
      <xdr:col>6</xdr:col>
      <xdr:colOff>647065</xdr:colOff>
      <xdr:row>9</xdr:row>
      <xdr:rowOff>56515</xdr:rowOff>
    </xdr:to>
    <xdr:sp macro="" textlink="">
      <xdr:nvSpPr>
        <xdr:cNvPr id="38" name="Freeform 178">
          <a:extLst>
            <a:ext uri="{FF2B5EF4-FFF2-40B4-BE49-F238E27FC236}">
              <a16:creationId xmlns:a16="http://schemas.microsoft.com/office/drawing/2014/main" id="{9867EF64-CDAB-4F4B-9FBF-39FB2B37D150}"/>
            </a:ext>
          </a:extLst>
        </xdr:cNvPr>
        <xdr:cNvSpPr/>
      </xdr:nvSpPr>
      <xdr:spPr>
        <a:xfrm>
          <a:off x="7305675" y="209550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9</xdr:row>
      <xdr:rowOff>0</xdr:rowOff>
    </xdr:from>
    <xdr:to>
      <xdr:col>7</xdr:col>
      <xdr:colOff>628015</xdr:colOff>
      <xdr:row>9</xdr:row>
      <xdr:rowOff>8890</xdr:rowOff>
    </xdr:to>
    <xdr:sp macro="" textlink="">
      <xdr:nvSpPr>
        <xdr:cNvPr id="39" name="Freeform 175">
          <a:extLst>
            <a:ext uri="{FF2B5EF4-FFF2-40B4-BE49-F238E27FC236}">
              <a16:creationId xmlns:a16="http://schemas.microsoft.com/office/drawing/2014/main" id="{E3A5FB9A-86C3-4530-8C35-117BB94BAFF0}"/>
            </a:ext>
          </a:extLst>
        </xdr:cNvPr>
        <xdr:cNvSpPr/>
      </xdr:nvSpPr>
      <xdr:spPr>
        <a:xfrm>
          <a:off x="8048625" y="20478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638175</xdr:colOff>
      <xdr:row>10</xdr:row>
      <xdr:rowOff>0</xdr:rowOff>
    </xdr:from>
    <xdr:to>
      <xdr:col>6</xdr:col>
      <xdr:colOff>647065</xdr:colOff>
      <xdr:row>10</xdr:row>
      <xdr:rowOff>8890</xdr:rowOff>
    </xdr:to>
    <xdr:sp macro="" textlink="">
      <xdr:nvSpPr>
        <xdr:cNvPr id="40" name="Freeform 179">
          <a:extLst>
            <a:ext uri="{FF2B5EF4-FFF2-40B4-BE49-F238E27FC236}">
              <a16:creationId xmlns:a16="http://schemas.microsoft.com/office/drawing/2014/main" id="{4179AFDA-0BD0-4A60-AFAD-D25907B3C3C8}"/>
            </a:ext>
          </a:extLst>
        </xdr:cNvPr>
        <xdr:cNvSpPr/>
      </xdr:nvSpPr>
      <xdr:spPr>
        <a:xfrm>
          <a:off x="7305675" y="225742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11</xdr:row>
      <xdr:rowOff>0</xdr:rowOff>
    </xdr:from>
    <xdr:to>
      <xdr:col>7</xdr:col>
      <xdr:colOff>628015</xdr:colOff>
      <xdr:row>11</xdr:row>
      <xdr:rowOff>8890</xdr:rowOff>
    </xdr:to>
    <xdr:sp macro="" textlink="">
      <xdr:nvSpPr>
        <xdr:cNvPr id="41" name="Freeform 183">
          <a:extLst>
            <a:ext uri="{FF2B5EF4-FFF2-40B4-BE49-F238E27FC236}">
              <a16:creationId xmlns:a16="http://schemas.microsoft.com/office/drawing/2014/main" id="{9563E3B7-CDA8-40AC-A5D8-71CFE745D75A}"/>
            </a:ext>
          </a:extLst>
        </xdr:cNvPr>
        <xdr:cNvSpPr/>
      </xdr:nvSpPr>
      <xdr:spPr>
        <a:xfrm>
          <a:off x="8048625" y="24669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12</xdr:row>
      <xdr:rowOff>0</xdr:rowOff>
    </xdr:from>
    <xdr:to>
      <xdr:col>7</xdr:col>
      <xdr:colOff>628015</xdr:colOff>
      <xdr:row>12</xdr:row>
      <xdr:rowOff>8890</xdr:rowOff>
    </xdr:to>
    <xdr:sp macro="" textlink="">
      <xdr:nvSpPr>
        <xdr:cNvPr id="42" name="Freeform 186">
          <a:extLst>
            <a:ext uri="{FF2B5EF4-FFF2-40B4-BE49-F238E27FC236}">
              <a16:creationId xmlns:a16="http://schemas.microsoft.com/office/drawing/2014/main" id="{ECA90565-1BFB-4688-81B2-25CABFAFBA91}"/>
            </a:ext>
          </a:extLst>
        </xdr:cNvPr>
        <xdr:cNvSpPr/>
      </xdr:nvSpPr>
      <xdr:spPr>
        <a:xfrm>
          <a:off x="8048625" y="26765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466725</xdr:colOff>
      <xdr:row>14</xdr:row>
      <xdr:rowOff>0</xdr:rowOff>
    </xdr:from>
    <xdr:to>
      <xdr:col>6</xdr:col>
      <xdr:colOff>475615</xdr:colOff>
      <xdr:row>14</xdr:row>
      <xdr:rowOff>8890</xdr:rowOff>
    </xdr:to>
    <xdr:sp macro="" textlink="">
      <xdr:nvSpPr>
        <xdr:cNvPr id="43" name="Freeform 200">
          <a:extLst>
            <a:ext uri="{FF2B5EF4-FFF2-40B4-BE49-F238E27FC236}">
              <a16:creationId xmlns:a16="http://schemas.microsoft.com/office/drawing/2014/main" id="{46635A08-591E-462E-9030-FC02CB7A8345}"/>
            </a:ext>
          </a:extLst>
        </xdr:cNvPr>
        <xdr:cNvSpPr/>
      </xdr:nvSpPr>
      <xdr:spPr>
        <a:xfrm>
          <a:off x="7134225" y="30956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466725</xdr:colOff>
      <xdr:row>15</xdr:row>
      <xdr:rowOff>0</xdr:rowOff>
    </xdr:from>
    <xdr:to>
      <xdr:col>6</xdr:col>
      <xdr:colOff>475615</xdr:colOff>
      <xdr:row>15</xdr:row>
      <xdr:rowOff>8890</xdr:rowOff>
    </xdr:to>
    <xdr:sp macro="" textlink="">
      <xdr:nvSpPr>
        <xdr:cNvPr id="44" name="Freeform 203">
          <a:extLst>
            <a:ext uri="{FF2B5EF4-FFF2-40B4-BE49-F238E27FC236}">
              <a16:creationId xmlns:a16="http://schemas.microsoft.com/office/drawing/2014/main" id="{565D7196-EE0B-4F04-8F2D-66288D3BA2B0}"/>
            </a:ext>
          </a:extLst>
        </xdr:cNvPr>
        <xdr:cNvSpPr/>
      </xdr:nvSpPr>
      <xdr:spPr>
        <a:xfrm>
          <a:off x="7134225" y="33051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18</xdr:row>
      <xdr:rowOff>0</xdr:rowOff>
    </xdr:from>
    <xdr:to>
      <xdr:col>5</xdr:col>
      <xdr:colOff>323215</xdr:colOff>
      <xdr:row>18</xdr:row>
      <xdr:rowOff>8890</xdr:rowOff>
    </xdr:to>
    <xdr:sp macro="" textlink="">
      <xdr:nvSpPr>
        <xdr:cNvPr id="74" name="Freeform 242">
          <a:extLst>
            <a:ext uri="{FF2B5EF4-FFF2-40B4-BE49-F238E27FC236}">
              <a16:creationId xmlns:a16="http://schemas.microsoft.com/office/drawing/2014/main" id="{EA872C72-B0EC-4427-A73A-68B5E36C1930}"/>
            </a:ext>
          </a:extLst>
        </xdr:cNvPr>
        <xdr:cNvSpPr/>
      </xdr:nvSpPr>
      <xdr:spPr>
        <a:xfrm>
          <a:off x="6219825" y="37242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19</xdr:row>
      <xdr:rowOff>0</xdr:rowOff>
    </xdr:from>
    <xdr:to>
      <xdr:col>5</xdr:col>
      <xdr:colOff>323215</xdr:colOff>
      <xdr:row>19</xdr:row>
      <xdr:rowOff>8890</xdr:rowOff>
    </xdr:to>
    <xdr:sp macro="" textlink="">
      <xdr:nvSpPr>
        <xdr:cNvPr id="75" name="Freeform 245">
          <a:extLst>
            <a:ext uri="{FF2B5EF4-FFF2-40B4-BE49-F238E27FC236}">
              <a16:creationId xmlns:a16="http://schemas.microsoft.com/office/drawing/2014/main" id="{EB2A20F7-F488-4BA3-8A9E-99B26649B41E}"/>
            </a:ext>
          </a:extLst>
        </xdr:cNvPr>
        <xdr:cNvSpPr/>
      </xdr:nvSpPr>
      <xdr:spPr>
        <a:xfrm>
          <a:off x="6219825" y="39338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20</xdr:row>
      <xdr:rowOff>0</xdr:rowOff>
    </xdr:from>
    <xdr:to>
      <xdr:col>5</xdr:col>
      <xdr:colOff>323215</xdr:colOff>
      <xdr:row>20</xdr:row>
      <xdr:rowOff>8890</xdr:rowOff>
    </xdr:to>
    <xdr:sp macro="" textlink="">
      <xdr:nvSpPr>
        <xdr:cNvPr id="76" name="Freeform 248">
          <a:extLst>
            <a:ext uri="{FF2B5EF4-FFF2-40B4-BE49-F238E27FC236}">
              <a16:creationId xmlns:a16="http://schemas.microsoft.com/office/drawing/2014/main" id="{167EEB35-AC5B-4D54-9177-91FD6BEE09F0}"/>
            </a:ext>
          </a:extLst>
        </xdr:cNvPr>
        <xdr:cNvSpPr/>
      </xdr:nvSpPr>
      <xdr:spPr>
        <a:xfrm>
          <a:off x="6219825" y="41433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21</xdr:row>
      <xdr:rowOff>0</xdr:rowOff>
    </xdr:from>
    <xdr:to>
      <xdr:col>5</xdr:col>
      <xdr:colOff>323215</xdr:colOff>
      <xdr:row>21</xdr:row>
      <xdr:rowOff>8890</xdr:rowOff>
    </xdr:to>
    <xdr:sp macro="" textlink="">
      <xdr:nvSpPr>
        <xdr:cNvPr id="77" name="Freeform 251">
          <a:extLst>
            <a:ext uri="{FF2B5EF4-FFF2-40B4-BE49-F238E27FC236}">
              <a16:creationId xmlns:a16="http://schemas.microsoft.com/office/drawing/2014/main" id="{D8658416-D84E-4F15-A0B6-8780E89222D5}"/>
            </a:ext>
          </a:extLst>
        </xdr:cNvPr>
        <xdr:cNvSpPr/>
      </xdr:nvSpPr>
      <xdr:spPr>
        <a:xfrm>
          <a:off x="6219825" y="43529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22</xdr:row>
      <xdr:rowOff>0</xdr:rowOff>
    </xdr:from>
    <xdr:to>
      <xdr:col>5</xdr:col>
      <xdr:colOff>323215</xdr:colOff>
      <xdr:row>22</xdr:row>
      <xdr:rowOff>8890</xdr:rowOff>
    </xdr:to>
    <xdr:sp macro="" textlink="">
      <xdr:nvSpPr>
        <xdr:cNvPr id="78" name="Freeform 254">
          <a:extLst>
            <a:ext uri="{FF2B5EF4-FFF2-40B4-BE49-F238E27FC236}">
              <a16:creationId xmlns:a16="http://schemas.microsoft.com/office/drawing/2014/main" id="{BD256179-A643-48E1-B2A9-8F9A65A326C0}"/>
            </a:ext>
          </a:extLst>
        </xdr:cNvPr>
        <xdr:cNvSpPr/>
      </xdr:nvSpPr>
      <xdr:spPr>
        <a:xfrm>
          <a:off x="6219825" y="45624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23</xdr:row>
      <xdr:rowOff>0</xdr:rowOff>
    </xdr:from>
    <xdr:to>
      <xdr:col>5</xdr:col>
      <xdr:colOff>323215</xdr:colOff>
      <xdr:row>23</xdr:row>
      <xdr:rowOff>8890</xdr:rowOff>
    </xdr:to>
    <xdr:sp macro="" textlink="">
      <xdr:nvSpPr>
        <xdr:cNvPr id="79" name="Freeform 257">
          <a:extLst>
            <a:ext uri="{FF2B5EF4-FFF2-40B4-BE49-F238E27FC236}">
              <a16:creationId xmlns:a16="http://schemas.microsoft.com/office/drawing/2014/main" id="{AAFDDE4D-5440-4C2E-BB50-0E4189BBE806}"/>
            </a:ext>
          </a:extLst>
        </xdr:cNvPr>
        <xdr:cNvSpPr/>
      </xdr:nvSpPr>
      <xdr:spPr>
        <a:xfrm>
          <a:off x="6219825" y="47720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638175</xdr:colOff>
      <xdr:row>24</xdr:row>
      <xdr:rowOff>76200</xdr:rowOff>
    </xdr:from>
    <xdr:to>
      <xdr:col>5</xdr:col>
      <xdr:colOff>647065</xdr:colOff>
      <xdr:row>24</xdr:row>
      <xdr:rowOff>85090</xdr:rowOff>
    </xdr:to>
    <xdr:sp macro="" textlink="">
      <xdr:nvSpPr>
        <xdr:cNvPr id="80" name="Freeform 263">
          <a:extLst>
            <a:ext uri="{FF2B5EF4-FFF2-40B4-BE49-F238E27FC236}">
              <a16:creationId xmlns:a16="http://schemas.microsoft.com/office/drawing/2014/main" id="{A3F4BEA1-2EBD-402C-B089-7D2566290CEA}"/>
            </a:ext>
          </a:extLst>
        </xdr:cNvPr>
        <xdr:cNvSpPr/>
      </xdr:nvSpPr>
      <xdr:spPr>
        <a:xfrm>
          <a:off x="6543675" y="505777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24</xdr:row>
      <xdr:rowOff>0</xdr:rowOff>
    </xdr:from>
    <xdr:to>
      <xdr:col>7</xdr:col>
      <xdr:colOff>628015</xdr:colOff>
      <xdr:row>24</xdr:row>
      <xdr:rowOff>8890</xdr:rowOff>
    </xdr:to>
    <xdr:sp macro="" textlink="">
      <xdr:nvSpPr>
        <xdr:cNvPr id="81" name="Freeform 260">
          <a:extLst>
            <a:ext uri="{FF2B5EF4-FFF2-40B4-BE49-F238E27FC236}">
              <a16:creationId xmlns:a16="http://schemas.microsoft.com/office/drawing/2014/main" id="{2052A1C6-DE30-453D-89B6-2C9E5EBCA082}"/>
            </a:ext>
          </a:extLst>
        </xdr:cNvPr>
        <xdr:cNvSpPr/>
      </xdr:nvSpPr>
      <xdr:spPr>
        <a:xfrm>
          <a:off x="8048625" y="49815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638175</xdr:colOff>
      <xdr:row>25</xdr:row>
      <xdr:rowOff>0</xdr:rowOff>
    </xdr:from>
    <xdr:to>
      <xdr:col>5</xdr:col>
      <xdr:colOff>647065</xdr:colOff>
      <xdr:row>25</xdr:row>
      <xdr:rowOff>8890</xdr:rowOff>
    </xdr:to>
    <xdr:sp macro="" textlink="">
      <xdr:nvSpPr>
        <xdr:cNvPr id="82" name="Freeform 265">
          <a:extLst>
            <a:ext uri="{FF2B5EF4-FFF2-40B4-BE49-F238E27FC236}">
              <a16:creationId xmlns:a16="http://schemas.microsoft.com/office/drawing/2014/main" id="{5233699E-FCCF-4FE3-A315-A674B8631932}"/>
            </a:ext>
          </a:extLst>
        </xdr:cNvPr>
        <xdr:cNvSpPr/>
      </xdr:nvSpPr>
      <xdr:spPr>
        <a:xfrm>
          <a:off x="6543675" y="519112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466725</xdr:colOff>
      <xdr:row>25</xdr:row>
      <xdr:rowOff>0</xdr:rowOff>
    </xdr:from>
    <xdr:to>
      <xdr:col>6</xdr:col>
      <xdr:colOff>475615</xdr:colOff>
      <xdr:row>25</xdr:row>
      <xdr:rowOff>8890</xdr:rowOff>
    </xdr:to>
    <xdr:sp macro="" textlink="">
      <xdr:nvSpPr>
        <xdr:cNvPr id="83" name="Freeform 267">
          <a:extLst>
            <a:ext uri="{FF2B5EF4-FFF2-40B4-BE49-F238E27FC236}">
              <a16:creationId xmlns:a16="http://schemas.microsoft.com/office/drawing/2014/main" id="{D6DD5084-AC9E-4A4D-B834-D251536DC284}"/>
            </a:ext>
          </a:extLst>
        </xdr:cNvPr>
        <xdr:cNvSpPr/>
      </xdr:nvSpPr>
      <xdr:spPr>
        <a:xfrm>
          <a:off x="7134225" y="51911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26</xdr:row>
      <xdr:rowOff>0</xdr:rowOff>
    </xdr:from>
    <xdr:to>
      <xdr:col>7</xdr:col>
      <xdr:colOff>628015</xdr:colOff>
      <xdr:row>26</xdr:row>
      <xdr:rowOff>8890</xdr:rowOff>
    </xdr:to>
    <xdr:sp macro="" textlink="">
      <xdr:nvSpPr>
        <xdr:cNvPr id="84" name="Freeform 270">
          <a:extLst>
            <a:ext uri="{FF2B5EF4-FFF2-40B4-BE49-F238E27FC236}">
              <a16:creationId xmlns:a16="http://schemas.microsoft.com/office/drawing/2014/main" id="{2BA5219C-8B48-4602-AACE-F79B19B1BB68}"/>
            </a:ext>
          </a:extLst>
        </xdr:cNvPr>
        <xdr:cNvSpPr/>
      </xdr:nvSpPr>
      <xdr:spPr>
        <a:xfrm>
          <a:off x="8048625" y="54006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27</xdr:row>
      <xdr:rowOff>0</xdr:rowOff>
    </xdr:from>
    <xdr:to>
      <xdr:col>7</xdr:col>
      <xdr:colOff>628015</xdr:colOff>
      <xdr:row>27</xdr:row>
      <xdr:rowOff>8890</xdr:rowOff>
    </xdr:to>
    <xdr:sp macro="" textlink="">
      <xdr:nvSpPr>
        <xdr:cNvPr id="85" name="Freeform 273">
          <a:extLst>
            <a:ext uri="{FF2B5EF4-FFF2-40B4-BE49-F238E27FC236}">
              <a16:creationId xmlns:a16="http://schemas.microsoft.com/office/drawing/2014/main" id="{7E61BAF8-B2F4-4692-893C-DAC827E87E54}"/>
            </a:ext>
          </a:extLst>
        </xdr:cNvPr>
        <xdr:cNvSpPr/>
      </xdr:nvSpPr>
      <xdr:spPr>
        <a:xfrm>
          <a:off x="8048625" y="56102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2</xdr:col>
      <xdr:colOff>638175</xdr:colOff>
      <xdr:row>31</xdr:row>
      <xdr:rowOff>76200</xdr:rowOff>
    </xdr:from>
    <xdr:to>
      <xdr:col>2</xdr:col>
      <xdr:colOff>647065</xdr:colOff>
      <xdr:row>31</xdr:row>
      <xdr:rowOff>85090</xdr:rowOff>
    </xdr:to>
    <xdr:sp macro="" textlink="">
      <xdr:nvSpPr>
        <xdr:cNvPr id="86" name="Freeform 315">
          <a:extLst>
            <a:ext uri="{FF2B5EF4-FFF2-40B4-BE49-F238E27FC236}">
              <a16:creationId xmlns:a16="http://schemas.microsoft.com/office/drawing/2014/main" id="{840E32BD-2B04-4172-9C68-E233641F9284}"/>
            </a:ext>
          </a:extLst>
        </xdr:cNvPr>
        <xdr:cNvSpPr/>
      </xdr:nvSpPr>
      <xdr:spPr>
        <a:xfrm>
          <a:off x="4257675" y="652462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31</xdr:row>
      <xdr:rowOff>0</xdr:rowOff>
    </xdr:from>
    <xdr:to>
      <xdr:col>5</xdr:col>
      <xdr:colOff>323215</xdr:colOff>
      <xdr:row>31</xdr:row>
      <xdr:rowOff>8890</xdr:rowOff>
    </xdr:to>
    <xdr:sp macro="" textlink="">
      <xdr:nvSpPr>
        <xdr:cNvPr id="87" name="Freeform 312">
          <a:extLst>
            <a:ext uri="{FF2B5EF4-FFF2-40B4-BE49-F238E27FC236}">
              <a16:creationId xmlns:a16="http://schemas.microsoft.com/office/drawing/2014/main" id="{55C3C812-F3D4-45FF-9E3A-FAC89DB0E245}"/>
            </a:ext>
          </a:extLst>
        </xdr:cNvPr>
        <xdr:cNvSpPr/>
      </xdr:nvSpPr>
      <xdr:spPr>
        <a:xfrm>
          <a:off x="6219825" y="64484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2</xdr:col>
      <xdr:colOff>638175</xdr:colOff>
      <xdr:row>32</xdr:row>
      <xdr:rowOff>0</xdr:rowOff>
    </xdr:from>
    <xdr:to>
      <xdr:col>2</xdr:col>
      <xdr:colOff>647065</xdr:colOff>
      <xdr:row>32</xdr:row>
      <xdr:rowOff>8890</xdr:rowOff>
    </xdr:to>
    <xdr:sp macro="" textlink="">
      <xdr:nvSpPr>
        <xdr:cNvPr id="88" name="Freeform 316">
          <a:extLst>
            <a:ext uri="{FF2B5EF4-FFF2-40B4-BE49-F238E27FC236}">
              <a16:creationId xmlns:a16="http://schemas.microsoft.com/office/drawing/2014/main" id="{45FD7351-A9EA-4F53-8CE9-C6E08DA6145F}"/>
            </a:ext>
          </a:extLst>
        </xdr:cNvPr>
        <xdr:cNvSpPr/>
      </xdr:nvSpPr>
      <xdr:spPr>
        <a:xfrm>
          <a:off x="4257675" y="665797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619125</xdr:colOff>
      <xdr:row>16</xdr:row>
      <xdr:rowOff>0</xdr:rowOff>
    </xdr:from>
    <xdr:to>
      <xdr:col>7</xdr:col>
      <xdr:colOff>628015</xdr:colOff>
      <xdr:row>16</xdr:row>
      <xdr:rowOff>8890</xdr:rowOff>
    </xdr:to>
    <xdr:sp macro="" textlink="">
      <xdr:nvSpPr>
        <xdr:cNvPr id="2" name="Freeform 164">
          <a:extLst>
            <a:ext uri="{FF2B5EF4-FFF2-40B4-BE49-F238E27FC236}">
              <a16:creationId xmlns:a16="http://schemas.microsoft.com/office/drawing/2014/main" id="{4D548C78-C0E1-48ED-90FB-812ED8BFF57F}"/>
            </a:ext>
          </a:extLst>
        </xdr:cNvPr>
        <xdr:cNvSpPr/>
      </xdr:nvSpPr>
      <xdr:spPr>
        <a:xfrm>
          <a:off x="7210425" y="15716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638175</xdr:colOff>
      <xdr:row>3</xdr:row>
      <xdr:rowOff>47625</xdr:rowOff>
    </xdr:from>
    <xdr:to>
      <xdr:col>6</xdr:col>
      <xdr:colOff>647065</xdr:colOff>
      <xdr:row>3</xdr:row>
      <xdr:rowOff>56515</xdr:rowOff>
    </xdr:to>
    <xdr:sp macro="" textlink="">
      <xdr:nvSpPr>
        <xdr:cNvPr id="3" name="Freeform 178">
          <a:extLst>
            <a:ext uri="{FF2B5EF4-FFF2-40B4-BE49-F238E27FC236}">
              <a16:creationId xmlns:a16="http://schemas.microsoft.com/office/drawing/2014/main" id="{D887D1CD-D267-414F-BBA0-58FB81E8D978}"/>
            </a:ext>
          </a:extLst>
        </xdr:cNvPr>
        <xdr:cNvSpPr/>
      </xdr:nvSpPr>
      <xdr:spPr>
        <a:xfrm>
          <a:off x="6467475" y="206692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3</xdr:row>
      <xdr:rowOff>0</xdr:rowOff>
    </xdr:from>
    <xdr:to>
      <xdr:col>7</xdr:col>
      <xdr:colOff>628015</xdr:colOff>
      <xdr:row>3</xdr:row>
      <xdr:rowOff>8890</xdr:rowOff>
    </xdr:to>
    <xdr:sp macro="" textlink="">
      <xdr:nvSpPr>
        <xdr:cNvPr id="4" name="Freeform 175">
          <a:extLst>
            <a:ext uri="{FF2B5EF4-FFF2-40B4-BE49-F238E27FC236}">
              <a16:creationId xmlns:a16="http://schemas.microsoft.com/office/drawing/2014/main" id="{70268A33-3263-4CA7-86ED-579642B02748}"/>
            </a:ext>
          </a:extLst>
        </xdr:cNvPr>
        <xdr:cNvSpPr/>
      </xdr:nvSpPr>
      <xdr:spPr>
        <a:xfrm>
          <a:off x="7210425" y="20193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638175</xdr:colOff>
      <xdr:row>6</xdr:row>
      <xdr:rowOff>0</xdr:rowOff>
    </xdr:from>
    <xdr:to>
      <xdr:col>6</xdr:col>
      <xdr:colOff>647065</xdr:colOff>
      <xdr:row>6</xdr:row>
      <xdr:rowOff>8890</xdr:rowOff>
    </xdr:to>
    <xdr:sp macro="" textlink="">
      <xdr:nvSpPr>
        <xdr:cNvPr id="5" name="Freeform 179">
          <a:extLst>
            <a:ext uri="{FF2B5EF4-FFF2-40B4-BE49-F238E27FC236}">
              <a16:creationId xmlns:a16="http://schemas.microsoft.com/office/drawing/2014/main" id="{7436A69D-C01A-4D8C-83E3-59D036708DF1}"/>
            </a:ext>
          </a:extLst>
        </xdr:cNvPr>
        <xdr:cNvSpPr/>
      </xdr:nvSpPr>
      <xdr:spPr>
        <a:xfrm>
          <a:off x="6467475" y="222885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19</xdr:row>
      <xdr:rowOff>0</xdr:rowOff>
    </xdr:from>
    <xdr:to>
      <xdr:col>7</xdr:col>
      <xdr:colOff>628015</xdr:colOff>
      <xdr:row>19</xdr:row>
      <xdr:rowOff>8890</xdr:rowOff>
    </xdr:to>
    <xdr:sp macro="" textlink="">
      <xdr:nvSpPr>
        <xdr:cNvPr id="6" name="Freeform 183">
          <a:extLst>
            <a:ext uri="{FF2B5EF4-FFF2-40B4-BE49-F238E27FC236}">
              <a16:creationId xmlns:a16="http://schemas.microsoft.com/office/drawing/2014/main" id="{14AADD48-5957-4722-968B-C2CD82615A43}"/>
            </a:ext>
          </a:extLst>
        </xdr:cNvPr>
        <xdr:cNvSpPr/>
      </xdr:nvSpPr>
      <xdr:spPr>
        <a:xfrm>
          <a:off x="7210425" y="24384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20</xdr:row>
      <xdr:rowOff>0</xdr:rowOff>
    </xdr:from>
    <xdr:to>
      <xdr:col>7</xdr:col>
      <xdr:colOff>628015</xdr:colOff>
      <xdr:row>20</xdr:row>
      <xdr:rowOff>8890</xdr:rowOff>
    </xdr:to>
    <xdr:sp macro="" textlink="">
      <xdr:nvSpPr>
        <xdr:cNvPr id="7" name="Freeform 186">
          <a:extLst>
            <a:ext uri="{FF2B5EF4-FFF2-40B4-BE49-F238E27FC236}">
              <a16:creationId xmlns:a16="http://schemas.microsoft.com/office/drawing/2014/main" id="{D0CBF758-4504-4240-ACAF-96B6FF5A971B}"/>
            </a:ext>
          </a:extLst>
        </xdr:cNvPr>
        <xdr:cNvSpPr/>
      </xdr:nvSpPr>
      <xdr:spPr>
        <a:xfrm>
          <a:off x="7210425" y="26479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466725</xdr:colOff>
      <xdr:row>13</xdr:row>
      <xdr:rowOff>0</xdr:rowOff>
    </xdr:from>
    <xdr:to>
      <xdr:col>6</xdr:col>
      <xdr:colOff>475615</xdr:colOff>
      <xdr:row>13</xdr:row>
      <xdr:rowOff>8890</xdr:rowOff>
    </xdr:to>
    <xdr:sp macro="" textlink="">
      <xdr:nvSpPr>
        <xdr:cNvPr id="8" name="Freeform 200">
          <a:extLst>
            <a:ext uri="{FF2B5EF4-FFF2-40B4-BE49-F238E27FC236}">
              <a16:creationId xmlns:a16="http://schemas.microsoft.com/office/drawing/2014/main" id="{408BED6E-54E8-4AE6-81CB-9EA4894A12A4}"/>
            </a:ext>
          </a:extLst>
        </xdr:cNvPr>
        <xdr:cNvSpPr/>
      </xdr:nvSpPr>
      <xdr:spPr>
        <a:xfrm>
          <a:off x="6296025" y="30956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466725</xdr:colOff>
      <xdr:row>24</xdr:row>
      <xdr:rowOff>0</xdr:rowOff>
    </xdr:from>
    <xdr:to>
      <xdr:col>6</xdr:col>
      <xdr:colOff>475615</xdr:colOff>
      <xdr:row>24</xdr:row>
      <xdr:rowOff>8890</xdr:rowOff>
    </xdr:to>
    <xdr:sp macro="" textlink="">
      <xdr:nvSpPr>
        <xdr:cNvPr id="9" name="Freeform 203">
          <a:extLst>
            <a:ext uri="{FF2B5EF4-FFF2-40B4-BE49-F238E27FC236}">
              <a16:creationId xmlns:a16="http://schemas.microsoft.com/office/drawing/2014/main" id="{AC210C97-36E0-48B9-BD43-1B557D77E23D}"/>
            </a:ext>
          </a:extLst>
        </xdr:cNvPr>
        <xdr:cNvSpPr/>
      </xdr:nvSpPr>
      <xdr:spPr>
        <a:xfrm>
          <a:off x="6296025" y="33337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27</xdr:row>
      <xdr:rowOff>0</xdr:rowOff>
    </xdr:from>
    <xdr:to>
      <xdr:col>5</xdr:col>
      <xdr:colOff>323215</xdr:colOff>
      <xdr:row>27</xdr:row>
      <xdr:rowOff>8890</xdr:rowOff>
    </xdr:to>
    <xdr:sp macro="" textlink="">
      <xdr:nvSpPr>
        <xdr:cNvPr id="10" name="Freeform 242">
          <a:extLst>
            <a:ext uri="{FF2B5EF4-FFF2-40B4-BE49-F238E27FC236}">
              <a16:creationId xmlns:a16="http://schemas.microsoft.com/office/drawing/2014/main" id="{33A9F2B8-B2C1-4B72-AF23-8B67D12DA2A5}"/>
            </a:ext>
          </a:extLst>
        </xdr:cNvPr>
        <xdr:cNvSpPr/>
      </xdr:nvSpPr>
      <xdr:spPr>
        <a:xfrm>
          <a:off x="5381625" y="37814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8</xdr:row>
      <xdr:rowOff>0</xdr:rowOff>
    </xdr:from>
    <xdr:to>
      <xdr:col>5</xdr:col>
      <xdr:colOff>323215</xdr:colOff>
      <xdr:row>8</xdr:row>
      <xdr:rowOff>8890</xdr:rowOff>
    </xdr:to>
    <xdr:sp macro="" textlink="">
      <xdr:nvSpPr>
        <xdr:cNvPr id="11" name="Freeform 245">
          <a:extLst>
            <a:ext uri="{FF2B5EF4-FFF2-40B4-BE49-F238E27FC236}">
              <a16:creationId xmlns:a16="http://schemas.microsoft.com/office/drawing/2014/main" id="{3D8A8BEB-B08A-4D7F-87C4-1508D62796E5}"/>
            </a:ext>
          </a:extLst>
        </xdr:cNvPr>
        <xdr:cNvSpPr/>
      </xdr:nvSpPr>
      <xdr:spPr>
        <a:xfrm>
          <a:off x="5381625" y="40195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21</xdr:row>
      <xdr:rowOff>0</xdr:rowOff>
    </xdr:from>
    <xdr:to>
      <xdr:col>5</xdr:col>
      <xdr:colOff>323215</xdr:colOff>
      <xdr:row>21</xdr:row>
      <xdr:rowOff>8890</xdr:rowOff>
    </xdr:to>
    <xdr:sp macro="" textlink="">
      <xdr:nvSpPr>
        <xdr:cNvPr id="12" name="Freeform 248">
          <a:extLst>
            <a:ext uri="{FF2B5EF4-FFF2-40B4-BE49-F238E27FC236}">
              <a16:creationId xmlns:a16="http://schemas.microsoft.com/office/drawing/2014/main" id="{98B43574-5F86-4559-8F10-0392B2CA4190}"/>
            </a:ext>
          </a:extLst>
        </xdr:cNvPr>
        <xdr:cNvSpPr/>
      </xdr:nvSpPr>
      <xdr:spPr>
        <a:xfrm>
          <a:off x="5381625" y="42576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12</xdr:row>
      <xdr:rowOff>0</xdr:rowOff>
    </xdr:from>
    <xdr:to>
      <xdr:col>5</xdr:col>
      <xdr:colOff>323215</xdr:colOff>
      <xdr:row>12</xdr:row>
      <xdr:rowOff>8890</xdr:rowOff>
    </xdr:to>
    <xdr:sp macro="" textlink="">
      <xdr:nvSpPr>
        <xdr:cNvPr id="13" name="Freeform 251">
          <a:extLst>
            <a:ext uri="{FF2B5EF4-FFF2-40B4-BE49-F238E27FC236}">
              <a16:creationId xmlns:a16="http://schemas.microsoft.com/office/drawing/2014/main" id="{580277CA-87AF-4D38-A987-F8565CBD2F25}"/>
            </a:ext>
          </a:extLst>
        </xdr:cNvPr>
        <xdr:cNvSpPr/>
      </xdr:nvSpPr>
      <xdr:spPr>
        <a:xfrm>
          <a:off x="5381625" y="44958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9</xdr:row>
      <xdr:rowOff>0</xdr:rowOff>
    </xdr:from>
    <xdr:to>
      <xdr:col>5</xdr:col>
      <xdr:colOff>323215</xdr:colOff>
      <xdr:row>9</xdr:row>
      <xdr:rowOff>8890</xdr:rowOff>
    </xdr:to>
    <xdr:sp macro="" textlink="">
      <xdr:nvSpPr>
        <xdr:cNvPr id="14" name="Freeform 254">
          <a:extLst>
            <a:ext uri="{FF2B5EF4-FFF2-40B4-BE49-F238E27FC236}">
              <a16:creationId xmlns:a16="http://schemas.microsoft.com/office/drawing/2014/main" id="{11D6BEAA-E0BC-44DA-93D8-61D116053894}"/>
            </a:ext>
          </a:extLst>
        </xdr:cNvPr>
        <xdr:cNvSpPr/>
      </xdr:nvSpPr>
      <xdr:spPr>
        <a:xfrm>
          <a:off x="5381625" y="47339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5</xdr:row>
      <xdr:rowOff>0</xdr:rowOff>
    </xdr:from>
    <xdr:to>
      <xdr:col>5</xdr:col>
      <xdr:colOff>323215</xdr:colOff>
      <xdr:row>5</xdr:row>
      <xdr:rowOff>8890</xdr:rowOff>
    </xdr:to>
    <xdr:sp macro="" textlink="">
      <xdr:nvSpPr>
        <xdr:cNvPr id="15" name="Freeform 257">
          <a:extLst>
            <a:ext uri="{FF2B5EF4-FFF2-40B4-BE49-F238E27FC236}">
              <a16:creationId xmlns:a16="http://schemas.microsoft.com/office/drawing/2014/main" id="{3F945CD0-5F35-4DB0-BEA3-385A6BEC07AC}"/>
            </a:ext>
          </a:extLst>
        </xdr:cNvPr>
        <xdr:cNvSpPr/>
      </xdr:nvSpPr>
      <xdr:spPr>
        <a:xfrm>
          <a:off x="5381625" y="49720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638175</xdr:colOff>
      <xdr:row>11</xdr:row>
      <xdr:rowOff>76200</xdr:rowOff>
    </xdr:from>
    <xdr:to>
      <xdr:col>5</xdr:col>
      <xdr:colOff>647065</xdr:colOff>
      <xdr:row>11</xdr:row>
      <xdr:rowOff>85090</xdr:rowOff>
    </xdr:to>
    <xdr:sp macro="" textlink="">
      <xdr:nvSpPr>
        <xdr:cNvPr id="16" name="Freeform 263">
          <a:extLst>
            <a:ext uri="{FF2B5EF4-FFF2-40B4-BE49-F238E27FC236}">
              <a16:creationId xmlns:a16="http://schemas.microsoft.com/office/drawing/2014/main" id="{DC18EA92-4B9C-4D1A-B278-1F5F521C53BC}"/>
            </a:ext>
          </a:extLst>
        </xdr:cNvPr>
        <xdr:cNvSpPr/>
      </xdr:nvSpPr>
      <xdr:spPr>
        <a:xfrm>
          <a:off x="5705475" y="528637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11</xdr:row>
      <xdr:rowOff>0</xdr:rowOff>
    </xdr:from>
    <xdr:to>
      <xdr:col>7</xdr:col>
      <xdr:colOff>628015</xdr:colOff>
      <xdr:row>11</xdr:row>
      <xdr:rowOff>8890</xdr:rowOff>
    </xdr:to>
    <xdr:sp macro="" textlink="">
      <xdr:nvSpPr>
        <xdr:cNvPr id="17" name="Freeform 260">
          <a:extLst>
            <a:ext uri="{FF2B5EF4-FFF2-40B4-BE49-F238E27FC236}">
              <a16:creationId xmlns:a16="http://schemas.microsoft.com/office/drawing/2014/main" id="{7F4E5976-C531-49D4-8401-7505AF0F8059}"/>
            </a:ext>
          </a:extLst>
        </xdr:cNvPr>
        <xdr:cNvSpPr/>
      </xdr:nvSpPr>
      <xdr:spPr>
        <a:xfrm>
          <a:off x="7210425" y="52101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638175</xdr:colOff>
      <xdr:row>23</xdr:row>
      <xdr:rowOff>0</xdr:rowOff>
    </xdr:from>
    <xdr:to>
      <xdr:col>5</xdr:col>
      <xdr:colOff>647065</xdr:colOff>
      <xdr:row>23</xdr:row>
      <xdr:rowOff>8890</xdr:rowOff>
    </xdr:to>
    <xdr:sp macro="" textlink="">
      <xdr:nvSpPr>
        <xdr:cNvPr id="18" name="Freeform 265">
          <a:extLst>
            <a:ext uri="{FF2B5EF4-FFF2-40B4-BE49-F238E27FC236}">
              <a16:creationId xmlns:a16="http://schemas.microsoft.com/office/drawing/2014/main" id="{11339854-4241-481B-8079-FD3B6AC0D30E}"/>
            </a:ext>
          </a:extLst>
        </xdr:cNvPr>
        <xdr:cNvSpPr/>
      </xdr:nvSpPr>
      <xdr:spPr>
        <a:xfrm>
          <a:off x="5705475" y="544830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466725</xdr:colOff>
      <xdr:row>23</xdr:row>
      <xdr:rowOff>0</xdr:rowOff>
    </xdr:from>
    <xdr:to>
      <xdr:col>6</xdr:col>
      <xdr:colOff>475615</xdr:colOff>
      <xdr:row>23</xdr:row>
      <xdr:rowOff>8890</xdr:rowOff>
    </xdr:to>
    <xdr:sp macro="" textlink="">
      <xdr:nvSpPr>
        <xdr:cNvPr id="19" name="Freeform 267">
          <a:extLst>
            <a:ext uri="{FF2B5EF4-FFF2-40B4-BE49-F238E27FC236}">
              <a16:creationId xmlns:a16="http://schemas.microsoft.com/office/drawing/2014/main" id="{E55107B2-2304-45BA-AC25-B43E5D0BEBEA}"/>
            </a:ext>
          </a:extLst>
        </xdr:cNvPr>
        <xdr:cNvSpPr/>
      </xdr:nvSpPr>
      <xdr:spPr>
        <a:xfrm>
          <a:off x="6296025" y="54483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33</xdr:row>
      <xdr:rowOff>0</xdr:rowOff>
    </xdr:from>
    <xdr:to>
      <xdr:col>7</xdr:col>
      <xdr:colOff>628015</xdr:colOff>
      <xdr:row>33</xdr:row>
      <xdr:rowOff>8890</xdr:rowOff>
    </xdr:to>
    <xdr:sp macro="" textlink="">
      <xdr:nvSpPr>
        <xdr:cNvPr id="20" name="Freeform 270">
          <a:extLst>
            <a:ext uri="{FF2B5EF4-FFF2-40B4-BE49-F238E27FC236}">
              <a16:creationId xmlns:a16="http://schemas.microsoft.com/office/drawing/2014/main" id="{87382B9C-686C-4FF6-B7DF-6DCE2BA5C084}"/>
            </a:ext>
          </a:extLst>
        </xdr:cNvPr>
        <xdr:cNvSpPr/>
      </xdr:nvSpPr>
      <xdr:spPr>
        <a:xfrm>
          <a:off x="7210425" y="56864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7</xdr:row>
      <xdr:rowOff>0</xdr:rowOff>
    </xdr:from>
    <xdr:to>
      <xdr:col>7</xdr:col>
      <xdr:colOff>628015</xdr:colOff>
      <xdr:row>7</xdr:row>
      <xdr:rowOff>8890</xdr:rowOff>
    </xdr:to>
    <xdr:sp macro="" textlink="">
      <xdr:nvSpPr>
        <xdr:cNvPr id="21" name="Freeform 273">
          <a:extLst>
            <a:ext uri="{FF2B5EF4-FFF2-40B4-BE49-F238E27FC236}">
              <a16:creationId xmlns:a16="http://schemas.microsoft.com/office/drawing/2014/main" id="{287A4420-A79D-4582-A23C-550C3D8AB3FF}"/>
            </a:ext>
          </a:extLst>
        </xdr:cNvPr>
        <xdr:cNvSpPr/>
      </xdr:nvSpPr>
      <xdr:spPr>
        <a:xfrm>
          <a:off x="7210425" y="59245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2</xdr:col>
      <xdr:colOff>638175</xdr:colOff>
      <xdr:row>32</xdr:row>
      <xdr:rowOff>76200</xdr:rowOff>
    </xdr:from>
    <xdr:to>
      <xdr:col>2</xdr:col>
      <xdr:colOff>647065</xdr:colOff>
      <xdr:row>32</xdr:row>
      <xdr:rowOff>85090</xdr:rowOff>
    </xdr:to>
    <xdr:sp macro="" textlink="">
      <xdr:nvSpPr>
        <xdr:cNvPr id="22" name="Freeform 315">
          <a:extLst>
            <a:ext uri="{FF2B5EF4-FFF2-40B4-BE49-F238E27FC236}">
              <a16:creationId xmlns:a16="http://schemas.microsoft.com/office/drawing/2014/main" id="{F3F4EEEF-A3B4-44BA-B010-7D2156B8B943}"/>
            </a:ext>
          </a:extLst>
        </xdr:cNvPr>
        <xdr:cNvSpPr/>
      </xdr:nvSpPr>
      <xdr:spPr>
        <a:xfrm>
          <a:off x="3419475" y="692467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32</xdr:row>
      <xdr:rowOff>0</xdr:rowOff>
    </xdr:from>
    <xdr:to>
      <xdr:col>5</xdr:col>
      <xdr:colOff>323215</xdr:colOff>
      <xdr:row>32</xdr:row>
      <xdr:rowOff>8890</xdr:rowOff>
    </xdr:to>
    <xdr:sp macro="" textlink="">
      <xdr:nvSpPr>
        <xdr:cNvPr id="23" name="Freeform 312">
          <a:extLst>
            <a:ext uri="{FF2B5EF4-FFF2-40B4-BE49-F238E27FC236}">
              <a16:creationId xmlns:a16="http://schemas.microsoft.com/office/drawing/2014/main" id="{5A8AC06D-0028-4832-AA9B-C9255FFF08F8}"/>
            </a:ext>
          </a:extLst>
        </xdr:cNvPr>
        <xdr:cNvSpPr/>
      </xdr:nvSpPr>
      <xdr:spPr>
        <a:xfrm>
          <a:off x="5381625" y="68484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2</xdr:col>
      <xdr:colOff>638175</xdr:colOff>
      <xdr:row>34</xdr:row>
      <xdr:rowOff>0</xdr:rowOff>
    </xdr:from>
    <xdr:to>
      <xdr:col>2</xdr:col>
      <xdr:colOff>647065</xdr:colOff>
      <xdr:row>34</xdr:row>
      <xdr:rowOff>8890</xdr:rowOff>
    </xdr:to>
    <xdr:sp macro="" textlink="">
      <xdr:nvSpPr>
        <xdr:cNvPr id="24" name="Freeform 316">
          <a:extLst>
            <a:ext uri="{FF2B5EF4-FFF2-40B4-BE49-F238E27FC236}">
              <a16:creationId xmlns:a16="http://schemas.microsoft.com/office/drawing/2014/main" id="{011B59EF-7ED6-4539-B7A1-E3DA4CC2C0A8}"/>
            </a:ext>
          </a:extLst>
        </xdr:cNvPr>
        <xdr:cNvSpPr/>
      </xdr:nvSpPr>
      <xdr:spPr>
        <a:xfrm>
          <a:off x="3419475" y="708660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27</xdr:row>
      <xdr:rowOff>0</xdr:rowOff>
    </xdr:from>
    <xdr:to>
      <xdr:col>7</xdr:col>
      <xdr:colOff>628015</xdr:colOff>
      <xdr:row>27</xdr:row>
      <xdr:rowOff>8890</xdr:rowOff>
    </xdr:to>
    <xdr:sp macro="" textlink="">
      <xdr:nvSpPr>
        <xdr:cNvPr id="25" name="Freeform 164">
          <a:extLst>
            <a:ext uri="{FF2B5EF4-FFF2-40B4-BE49-F238E27FC236}">
              <a16:creationId xmlns:a16="http://schemas.microsoft.com/office/drawing/2014/main" id="{49529A66-AA5B-4E97-BA0E-1A41D7112469}"/>
            </a:ext>
          </a:extLst>
        </xdr:cNvPr>
        <xdr:cNvSpPr/>
      </xdr:nvSpPr>
      <xdr:spPr>
        <a:xfrm>
          <a:off x="7210425" y="15716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638175</xdr:colOff>
      <xdr:row>19</xdr:row>
      <xdr:rowOff>47625</xdr:rowOff>
    </xdr:from>
    <xdr:to>
      <xdr:col>6</xdr:col>
      <xdr:colOff>647065</xdr:colOff>
      <xdr:row>19</xdr:row>
      <xdr:rowOff>56515</xdr:rowOff>
    </xdr:to>
    <xdr:sp macro="" textlink="">
      <xdr:nvSpPr>
        <xdr:cNvPr id="26" name="Freeform 178">
          <a:extLst>
            <a:ext uri="{FF2B5EF4-FFF2-40B4-BE49-F238E27FC236}">
              <a16:creationId xmlns:a16="http://schemas.microsoft.com/office/drawing/2014/main" id="{A280EFC0-7B21-4813-9841-507058BF5991}"/>
            </a:ext>
          </a:extLst>
        </xdr:cNvPr>
        <xdr:cNvSpPr/>
      </xdr:nvSpPr>
      <xdr:spPr>
        <a:xfrm>
          <a:off x="6467475" y="206692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19</xdr:row>
      <xdr:rowOff>0</xdr:rowOff>
    </xdr:from>
    <xdr:to>
      <xdr:col>7</xdr:col>
      <xdr:colOff>628015</xdr:colOff>
      <xdr:row>19</xdr:row>
      <xdr:rowOff>8890</xdr:rowOff>
    </xdr:to>
    <xdr:sp macro="" textlink="">
      <xdr:nvSpPr>
        <xdr:cNvPr id="27" name="Freeform 175">
          <a:extLst>
            <a:ext uri="{FF2B5EF4-FFF2-40B4-BE49-F238E27FC236}">
              <a16:creationId xmlns:a16="http://schemas.microsoft.com/office/drawing/2014/main" id="{EBFDF283-295F-41BF-B4F3-EC76C6B1ADE7}"/>
            </a:ext>
          </a:extLst>
        </xdr:cNvPr>
        <xdr:cNvSpPr/>
      </xdr:nvSpPr>
      <xdr:spPr>
        <a:xfrm>
          <a:off x="7210425" y="20193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638175</xdr:colOff>
      <xdr:row>5</xdr:row>
      <xdr:rowOff>0</xdr:rowOff>
    </xdr:from>
    <xdr:to>
      <xdr:col>6</xdr:col>
      <xdr:colOff>647065</xdr:colOff>
      <xdr:row>5</xdr:row>
      <xdr:rowOff>8890</xdr:rowOff>
    </xdr:to>
    <xdr:sp macro="" textlink="">
      <xdr:nvSpPr>
        <xdr:cNvPr id="28" name="Freeform 179">
          <a:extLst>
            <a:ext uri="{FF2B5EF4-FFF2-40B4-BE49-F238E27FC236}">
              <a16:creationId xmlns:a16="http://schemas.microsoft.com/office/drawing/2014/main" id="{B51A4311-1B61-4A89-A3E4-D0DC3BF76B21}"/>
            </a:ext>
          </a:extLst>
        </xdr:cNvPr>
        <xdr:cNvSpPr/>
      </xdr:nvSpPr>
      <xdr:spPr>
        <a:xfrm>
          <a:off x="6467475" y="222885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9</xdr:row>
      <xdr:rowOff>0</xdr:rowOff>
    </xdr:from>
    <xdr:to>
      <xdr:col>7</xdr:col>
      <xdr:colOff>628015</xdr:colOff>
      <xdr:row>9</xdr:row>
      <xdr:rowOff>8890</xdr:rowOff>
    </xdr:to>
    <xdr:sp macro="" textlink="">
      <xdr:nvSpPr>
        <xdr:cNvPr id="29" name="Freeform 183">
          <a:extLst>
            <a:ext uri="{FF2B5EF4-FFF2-40B4-BE49-F238E27FC236}">
              <a16:creationId xmlns:a16="http://schemas.microsoft.com/office/drawing/2014/main" id="{0C8EE85A-1B69-4539-B7DB-CB5EA1138E70}"/>
            </a:ext>
          </a:extLst>
        </xdr:cNvPr>
        <xdr:cNvSpPr/>
      </xdr:nvSpPr>
      <xdr:spPr>
        <a:xfrm>
          <a:off x="7210425" y="24384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4</xdr:row>
      <xdr:rowOff>0</xdr:rowOff>
    </xdr:from>
    <xdr:to>
      <xdr:col>7</xdr:col>
      <xdr:colOff>628015</xdr:colOff>
      <xdr:row>4</xdr:row>
      <xdr:rowOff>8890</xdr:rowOff>
    </xdr:to>
    <xdr:sp macro="" textlink="">
      <xdr:nvSpPr>
        <xdr:cNvPr id="30" name="Freeform 186">
          <a:extLst>
            <a:ext uri="{FF2B5EF4-FFF2-40B4-BE49-F238E27FC236}">
              <a16:creationId xmlns:a16="http://schemas.microsoft.com/office/drawing/2014/main" id="{E773C867-B542-4044-8967-D9A09F4DFFCF}"/>
            </a:ext>
          </a:extLst>
        </xdr:cNvPr>
        <xdr:cNvSpPr/>
      </xdr:nvSpPr>
      <xdr:spPr>
        <a:xfrm>
          <a:off x="7210425" y="26479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466725</xdr:colOff>
      <xdr:row>21</xdr:row>
      <xdr:rowOff>0</xdr:rowOff>
    </xdr:from>
    <xdr:to>
      <xdr:col>6</xdr:col>
      <xdr:colOff>475615</xdr:colOff>
      <xdr:row>21</xdr:row>
      <xdr:rowOff>8890</xdr:rowOff>
    </xdr:to>
    <xdr:sp macro="" textlink="">
      <xdr:nvSpPr>
        <xdr:cNvPr id="31" name="Freeform 200">
          <a:extLst>
            <a:ext uri="{FF2B5EF4-FFF2-40B4-BE49-F238E27FC236}">
              <a16:creationId xmlns:a16="http://schemas.microsoft.com/office/drawing/2014/main" id="{830967A0-FF9E-45CB-AD9D-381FA20F83D1}"/>
            </a:ext>
          </a:extLst>
        </xdr:cNvPr>
        <xdr:cNvSpPr/>
      </xdr:nvSpPr>
      <xdr:spPr>
        <a:xfrm>
          <a:off x="6296025" y="30956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466725</xdr:colOff>
      <xdr:row>34</xdr:row>
      <xdr:rowOff>0</xdr:rowOff>
    </xdr:from>
    <xdr:to>
      <xdr:col>6</xdr:col>
      <xdr:colOff>475615</xdr:colOff>
      <xdr:row>34</xdr:row>
      <xdr:rowOff>8890</xdr:rowOff>
    </xdr:to>
    <xdr:sp macro="" textlink="">
      <xdr:nvSpPr>
        <xdr:cNvPr id="32" name="Freeform 203">
          <a:extLst>
            <a:ext uri="{FF2B5EF4-FFF2-40B4-BE49-F238E27FC236}">
              <a16:creationId xmlns:a16="http://schemas.microsoft.com/office/drawing/2014/main" id="{A633990B-2017-4D9E-85A2-2EC1D8C1915F}"/>
            </a:ext>
          </a:extLst>
        </xdr:cNvPr>
        <xdr:cNvSpPr/>
      </xdr:nvSpPr>
      <xdr:spPr>
        <a:xfrm>
          <a:off x="6296025" y="33337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7</xdr:row>
      <xdr:rowOff>0</xdr:rowOff>
    </xdr:from>
    <xdr:to>
      <xdr:col>5</xdr:col>
      <xdr:colOff>323215</xdr:colOff>
      <xdr:row>7</xdr:row>
      <xdr:rowOff>8890</xdr:rowOff>
    </xdr:to>
    <xdr:sp macro="" textlink="">
      <xdr:nvSpPr>
        <xdr:cNvPr id="33" name="Freeform 242">
          <a:extLst>
            <a:ext uri="{FF2B5EF4-FFF2-40B4-BE49-F238E27FC236}">
              <a16:creationId xmlns:a16="http://schemas.microsoft.com/office/drawing/2014/main" id="{B699BE47-7C13-438B-BDF7-316F990B8E05}"/>
            </a:ext>
          </a:extLst>
        </xdr:cNvPr>
        <xdr:cNvSpPr/>
      </xdr:nvSpPr>
      <xdr:spPr>
        <a:xfrm>
          <a:off x="5381625" y="39624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3</xdr:row>
      <xdr:rowOff>0</xdr:rowOff>
    </xdr:from>
    <xdr:to>
      <xdr:col>5</xdr:col>
      <xdr:colOff>323215</xdr:colOff>
      <xdr:row>3</xdr:row>
      <xdr:rowOff>8890</xdr:rowOff>
    </xdr:to>
    <xdr:sp macro="" textlink="">
      <xdr:nvSpPr>
        <xdr:cNvPr id="34" name="Freeform 245">
          <a:extLst>
            <a:ext uri="{FF2B5EF4-FFF2-40B4-BE49-F238E27FC236}">
              <a16:creationId xmlns:a16="http://schemas.microsoft.com/office/drawing/2014/main" id="{89EDC710-12B1-4158-BB01-FFCACE48073F}"/>
            </a:ext>
          </a:extLst>
        </xdr:cNvPr>
        <xdr:cNvSpPr/>
      </xdr:nvSpPr>
      <xdr:spPr>
        <a:xfrm>
          <a:off x="5381625" y="41719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14</xdr:row>
      <xdr:rowOff>0</xdr:rowOff>
    </xdr:from>
    <xdr:to>
      <xdr:col>5</xdr:col>
      <xdr:colOff>323215</xdr:colOff>
      <xdr:row>14</xdr:row>
      <xdr:rowOff>8890</xdr:rowOff>
    </xdr:to>
    <xdr:sp macro="" textlink="">
      <xdr:nvSpPr>
        <xdr:cNvPr id="35" name="Freeform 248">
          <a:extLst>
            <a:ext uri="{FF2B5EF4-FFF2-40B4-BE49-F238E27FC236}">
              <a16:creationId xmlns:a16="http://schemas.microsoft.com/office/drawing/2014/main" id="{6969B6DC-504D-4985-B0FC-4BAC8C9A66DA}"/>
            </a:ext>
          </a:extLst>
        </xdr:cNvPr>
        <xdr:cNvSpPr/>
      </xdr:nvSpPr>
      <xdr:spPr>
        <a:xfrm>
          <a:off x="5381625" y="44100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13</xdr:row>
      <xdr:rowOff>0</xdr:rowOff>
    </xdr:from>
    <xdr:to>
      <xdr:col>5</xdr:col>
      <xdr:colOff>323215</xdr:colOff>
      <xdr:row>13</xdr:row>
      <xdr:rowOff>8890</xdr:rowOff>
    </xdr:to>
    <xdr:sp macro="" textlink="">
      <xdr:nvSpPr>
        <xdr:cNvPr id="36" name="Freeform 251">
          <a:extLst>
            <a:ext uri="{FF2B5EF4-FFF2-40B4-BE49-F238E27FC236}">
              <a16:creationId xmlns:a16="http://schemas.microsoft.com/office/drawing/2014/main" id="{2C95A464-E6A5-4165-B66E-3BCED990D510}"/>
            </a:ext>
          </a:extLst>
        </xdr:cNvPr>
        <xdr:cNvSpPr/>
      </xdr:nvSpPr>
      <xdr:spPr>
        <a:xfrm>
          <a:off x="5381625" y="46482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11</xdr:row>
      <xdr:rowOff>0</xdr:rowOff>
    </xdr:from>
    <xdr:to>
      <xdr:col>5</xdr:col>
      <xdr:colOff>323215</xdr:colOff>
      <xdr:row>11</xdr:row>
      <xdr:rowOff>8890</xdr:rowOff>
    </xdr:to>
    <xdr:sp macro="" textlink="">
      <xdr:nvSpPr>
        <xdr:cNvPr id="37" name="Freeform 254">
          <a:extLst>
            <a:ext uri="{FF2B5EF4-FFF2-40B4-BE49-F238E27FC236}">
              <a16:creationId xmlns:a16="http://schemas.microsoft.com/office/drawing/2014/main" id="{050AFDDB-27D1-40FF-B701-77690B961952}"/>
            </a:ext>
          </a:extLst>
        </xdr:cNvPr>
        <xdr:cNvSpPr/>
      </xdr:nvSpPr>
      <xdr:spPr>
        <a:xfrm>
          <a:off x="5381625" y="48863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10</xdr:row>
      <xdr:rowOff>0</xdr:rowOff>
    </xdr:from>
    <xdr:to>
      <xdr:col>5</xdr:col>
      <xdr:colOff>323215</xdr:colOff>
      <xdr:row>10</xdr:row>
      <xdr:rowOff>8890</xdr:rowOff>
    </xdr:to>
    <xdr:sp macro="" textlink="">
      <xdr:nvSpPr>
        <xdr:cNvPr id="38" name="Freeform 257">
          <a:extLst>
            <a:ext uri="{FF2B5EF4-FFF2-40B4-BE49-F238E27FC236}">
              <a16:creationId xmlns:a16="http://schemas.microsoft.com/office/drawing/2014/main" id="{1217B263-ADFD-4BA8-AE4E-EF50CFF999BE}"/>
            </a:ext>
          </a:extLst>
        </xdr:cNvPr>
        <xdr:cNvSpPr/>
      </xdr:nvSpPr>
      <xdr:spPr>
        <a:xfrm>
          <a:off x="5381625" y="51244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638175</xdr:colOff>
      <xdr:row>22</xdr:row>
      <xdr:rowOff>76200</xdr:rowOff>
    </xdr:from>
    <xdr:to>
      <xdr:col>5</xdr:col>
      <xdr:colOff>647065</xdr:colOff>
      <xdr:row>22</xdr:row>
      <xdr:rowOff>85090</xdr:rowOff>
    </xdr:to>
    <xdr:sp macro="" textlink="">
      <xdr:nvSpPr>
        <xdr:cNvPr id="39" name="Freeform 263">
          <a:extLst>
            <a:ext uri="{FF2B5EF4-FFF2-40B4-BE49-F238E27FC236}">
              <a16:creationId xmlns:a16="http://schemas.microsoft.com/office/drawing/2014/main" id="{1E8C0685-D57B-4C12-BC53-C2B9AA7B79DA}"/>
            </a:ext>
          </a:extLst>
        </xdr:cNvPr>
        <xdr:cNvSpPr/>
      </xdr:nvSpPr>
      <xdr:spPr>
        <a:xfrm>
          <a:off x="5705475" y="543877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22</xdr:row>
      <xdr:rowOff>0</xdr:rowOff>
    </xdr:from>
    <xdr:to>
      <xdr:col>7</xdr:col>
      <xdr:colOff>628015</xdr:colOff>
      <xdr:row>22</xdr:row>
      <xdr:rowOff>8890</xdr:rowOff>
    </xdr:to>
    <xdr:sp macro="" textlink="">
      <xdr:nvSpPr>
        <xdr:cNvPr id="40" name="Freeform 260">
          <a:extLst>
            <a:ext uri="{FF2B5EF4-FFF2-40B4-BE49-F238E27FC236}">
              <a16:creationId xmlns:a16="http://schemas.microsoft.com/office/drawing/2014/main" id="{AE42FD6A-0981-40A0-AC49-348C28B5F9B3}"/>
            </a:ext>
          </a:extLst>
        </xdr:cNvPr>
        <xdr:cNvSpPr/>
      </xdr:nvSpPr>
      <xdr:spPr>
        <a:xfrm>
          <a:off x="7210425" y="53625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638175</xdr:colOff>
      <xdr:row>17</xdr:row>
      <xdr:rowOff>0</xdr:rowOff>
    </xdr:from>
    <xdr:to>
      <xdr:col>5</xdr:col>
      <xdr:colOff>647065</xdr:colOff>
      <xdr:row>17</xdr:row>
      <xdr:rowOff>8890</xdr:rowOff>
    </xdr:to>
    <xdr:sp macro="" textlink="">
      <xdr:nvSpPr>
        <xdr:cNvPr id="41" name="Freeform 265">
          <a:extLst>
            <a:ext uri="{FF2B5EF4-FFF2-40B4-BE49-F238E27FC236}">
              <a16:creationId xmlns:a16="http://schemas.microsoft.com/office/drawing/2014/main" id="{B6C83DF1-EDD8-4951-A3D8-1DA3953E01C9}"/>
            </a:ext>
          </a:extLst>
        </xdr:cNvPr>
        <xdr:cNvSpPr/>
      </xdr:nvSpPr>
      <xdr:spPr>
        <a:xfrm>
          <a:off x="5705475" y="560070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6</xdr:col>
      <xdr:colOff>466725</xdr:colOff>
      <xdr:row>17</xdr:row>
      <xdr:rowOff>0</xdr:rowOff>
    </xdr:from>
    <xdr:to>
      <xdr:col>6</xdr:col>
      <xdr:colOff>475615</xdr:colOff>
      <xdr:row>17</xdr:row>
      <xdr:rowOff>8890</xdr:rowOff>
    </xdr:to>
    <xdr:sp macro="" textlink="">
      <xdr:nvSpPr>
        <xdr:cNvPr id="42" name="Freeform 267">
          <a:extLst>
            <a:ext uri="{FF2B5EF4-FFF2-40B4-BE49-F238E27FC236}">
              <a16:creationId xmlns:a16="http://schemas.microsoft.com/office/drawing/2014/main" id="{3DF43A9D-2B10-47CC-89D8-8CBEA4F082C6}"/>
            </a:ext>
          </a:extLst>
        </xdr:cNvPr>
        <xdr:cNvSpPr/>
      </xdr:nvSpPr>
      <xdr:spPr>
        <a:xfrm>
          <a:off x="6296025" y="560070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16</xdr:row>
      <xdr:rowOff>0</xdr:rowOff>
    </xdr:from>
    <xdr:to>
      <xdr:col>7</xdr:col>
      <xdr:colOff>628015</xdr:colOff>
      <xdr:row>16</xdr:row>
      <xdr:rowOff>8890</xdr:rowOff>
    </xdr:to>
    <xdr:sp macro="" textlink="">
      <xdr:nvSpPr>
        <xdr:cNvPr id="43" name="Freeform 270">
          <a:extLst>
            <a:ext uri="{FF2B5EF4-FFF2-40B4-BE49-F238E27FC236}">
              <a16:creationId xmlns:a16="http://schemas.microsoft.com/office/drawing/2014/main" id="{AF52B3E5-6F4A-41B9-A72D-0B538326144B}"/>
            </a:ext>
          </a:extLst>
        </xdr:cNvPr>
        <xdr:cNvSpPr/>
      </xdr:nvSpPr>
      <xdr:spPr>
        <a:xfrm>
          <a:off x="7210425" y="583882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7</xdr:col>
      <xdr:colOff>619125</xdr:colOff>
      <xdr:row>18</xdr:row>
      <xdr:rowOff>0</xdr:rowOff>
    </xdr:from>
    <xdr:to>
      <xdr:col>7</xdr:col>
      <xdr:colOff>628015</xdr:colOff>
      <xdr:row>18</xdr:row>
      <xdr:rowOff>8890</xdr:rowOff>
    </xdr:to>
    <xdr:sp macro="" textlink="">
      <xdr:nvSpPr>
        <xdr:cNvPr id="44" name="Freeform 273">
          <a:extLst>
            <a:ext uri="{FF2B5EF4-FFF2-40B4-BE49-F238E27FC236}">
              <a16:creationId xmlns:a16="http://schemas.microsoft.com/office/drawing/2014/main" id="{E2F25695-9CF2-4940-8052-65832DA1BE0B}"/>
            </a:ext>
          </a:extLst>
        </xdr:cNvPr>
        <xdr:cNvSpPr/>
      </xdr:nvSpPr>
      <xdr:spPr>
        <a:xfrm>
          <a:off x="7210425" y="6076950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2</xdr:col>
      <xdr:colOff>638175</xdr:colOff>
      <xdr:row>32</xdr:row>
      <xdr:rowOff>76200</xdr:rowOff>
    </xdr:from>
    <xdr:to>
      <xdr:col>2</xdr:col>
      <xdr:colOff>647065</xdr:colOff>
      <xdr:row>32</xdr:row>
      <xdr:rowOff>85090</xdr:rowOff>
    </xdr:to>
    <xdr:sp macro="" textlink="">
      <xdr:nvSpPr>
        <xdr:cNvPr id="45" name="Freeform 315">
          <a:extLst>
            <a:ext uri="{FF2B5EF4-FFF2-40B4-BE49-F238E27FC236}">
              <a16:creationId xmlns:a16="http://schemas.microsoft.com/office/drawing/2014/main" id="{41C35FEA-95C1-4579-BB64-AF6FD28902CE}"/>
            </a:ext>
          </a:extLst>
        </xdr:cNvPr>
        <xdr:cNvSpPr/>
      </xdr:nvSpPr>
      <xdr:spPr>
        <a:xfrm>
          <a:off x="3419475" y="7077075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5</xdr:col>
      <xdr:colOff>314325</xdr:colOff>
      <xdr:row>32</xdr:row>
      <xdr:rowOff>0</xdr:rowOff>
    </xdr:from>
    <xdr:to>
      <xdr:col>5</xdr:col>
      <xdr:colOff>323215</xdr:colOff>
      <xdr:row>32</xdr:row>
      <xdr:rowOff>8890</xdr:rowOff>
    </xdr:to>
    <xdr:sp macro="" textlink="">
      <xdr:nvSpPr>
        <xdr:cNvPr id="46" name="Freeform 312">
          <a:extLst>
            <a:ext uri="{FF2B5EF4-FFF2-40B4-BE49-F238E27FC236}">
              <a16:creationId xmlns:a16="http://schemas.microsoft.com/office/drawing/2014/main" id="{31F1BBE6-50AB-419C-A8F8-FC01C0FF72AE}"/>
            </a:ext>
          </a:extLst>
        </xdr:cNvPr>
        <xdr:cNvSpPr/>
      </xdr:nvSpPr>
      <xdr:spPr>
        <a:xfrm>
          <a:off x="5381625" y="7000875"/>
          <a:ext cx="8890" cy="8890"/>
        </a:xfrm>
        <a:custGeom>
          <a:avLst/>
          <a:gdLst/>
          <a:ahLst/>
          <a:cxnLst/>
          <a:rect l="l" t="t" r="r" b="b"/>
          <a:pathLst>
            <a:path w="9143" h="9144">
              <a:moveTo>
                <a:pt x="0" y="9144"/>
              </a:moveTo>
              <a:lnTo>
                <a:pt x="9143" y="9144"/>
              </a:lnTo>
              <a:lnTo>
                <a:pt x="9143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  <xdr:twoCellAnchor>
    <xdr:from>
      <xdr:col>2</xdr:col>
      <xdr:colOff>638175</xdr:colOff>
      <xdr:row>15</xdr:row>
      <xdr:rowOff>0</xdr:rowOff>
    </xdr:from>
    <xdr:to>
      <xdr:col>2</xdr:col>
      <xdr:colOff>647065</xdr:colOff>
      <xdr:row>15</xdr:row>
      <xdr:rowOff>8890</xdr:rowOff>
    </xdr:to>
    <xdr:sp macro="" textlink="">
      <xdr:nvSpPr>
        <xdr:cNvPr id="47" name="Freeform 316">
          <a:extLst>
            <a:ext uri="{FF2B5EF4-FFF2-40B4-BE49-F238E27FC236}">
              <a16:creationId xmlns:a16="http://schemas.microsoft.com/office/drawing/2014/main" id="{3E4F2430-D796-4F87-941D-67AD494EA560}"/>
            </a:ext>
          </a:extLst>
        </xdr:cNvPr>
        <xdr:cNvSpPr/>
      </xdr:nvSpPr>
      <xdr:spPr>
        <a:xfrm>
          <a:off x="3419475" y="7239000"/>
          <a:ext cx="8890" cy="8890"/>
        </a:xfrm>
        <a:custGeom>
          <a:avLst/>
          <a:gdLst/>
          <a:ahLst/>
          <a:cxnLst/>
          <a:rect l="l" t="t" r="r" b="b"/>
          <a:pathLst>
            <a:path w="9144" h="9144">
              <a:moveTo>
                <a:pt x="0" y="9144"/>
              </a:moveTo>
              <a:lnTo>
                <a:pt x="9144" y="9144"/>
              </a:lnTo>
              <a:lnTo>
                <a:pt x="9144" y="0"/>
              </a:lnTo>
              <a:lnTo>
                <a:pt x="0" y="0"/>
              </a:lnTo>
              <a:lnTo>
                <a:pt x="0" y="9144"/>
              </a:lnTo>
              <a:close/>
            </a:path>
          </a:pathLst>
        </a:custGeom>
        <a:solidFill>
          <a:srgbClr val="000000">
            <a:alpha val="100000"/>
          </a:srgb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/>
        <a:lstStyle/>
        <a:p>
          <a:endParaRPr lang="de-DE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C3270-A9E7-49FA-A1CF-DAE954E5D6E4}">
  <dimension ref="C2:L81"/>
  <sheetViews>
    <sheetView topLeftCell="A61" zoomScale="115" zoomScaleNormal="115" workbookViewId="0">
      <selection activeCell="C2" sqref="C2:L81"/>
    </sheetView>
  </sheetViews>
  <sheetFormatPr baseColWidth="10" defaultRowHeight="15" x14ac:dyDescent="0.25"/>
  <cols>
    <col min="3" max="3" width="20" customWidth="1"/>
  </cols>
  <sheetData>
    <row r="2" spans="3:10" ht="15.75" thickBot="1" x14ac:dyDescent="0.3">
      <c r="C2" t="s">
        <v>93</v>
      </c>
    </row>
    <row r="3" spans="3:10" ht="15.75" thickBot="1" x14ac:dyDescent="0.3">
      <c r="C3" s="1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3:10" ht="15.75" thickBot="1" x14ac:dyDescent="0.3">
      <c r="C4" s="4" t="s">
        <v>8</v>
      </c>
      <c r="D4" s="5">
        <v>8</v>
      </c>
      <c r="E4" s="6">
        <v>8</v>
      </c>
      <c r="F4" s="6">
        <v>8</v>
      </c>
      <c r="G4" s="6">
        <v>8</v>
      </c>
      <c r="H4" s="6">
        <v>8</v>
      </c>
      <c r="I4" s="6">
        <v>8</v>
      </c>
      <c r="J4" s="6">
        <v>8</v>
      </c>
    </row>
    <row r="5" spans="3:10" ht="16.5" thickBot="1" x14ac:dyDescent="0.3">
      <c r="C5" s="7" t="s">
        <v>9</v>
      </c>
      <c r="D5" s="8" t="s">
        <v>10</v>
      </c>
      <c r="E5" s="15"/>
      <c r="F5" s="16"/>
      <c r="G5" s="16"/>
      <c r="H5" s="16"/>
      <c r="I5" s="16"/>
      <c r="J5" s="17"/>
    </row>
    <row r="6" spans="3:10" ht="16.5" thickBot="1" x14ac:dyDescent="0.3">
      <c r="C6" s="7" t="s">
        <v>11</v>
      </c>
      <c r="D6" s="8" t="s">
        <v>12</v>
      </c>
      <c r="E6" s="15"/>
      <c r="F6" s="16"/>
      <c r="G6" s="16"/>
      <c r="H6" s="16"/>
      <c r="I6" s="16"/>
      <c r="J6" s="17"/>
    </row>
    <row r="7" spans="3:10" ht="16.5" thickBot="1" x14ac:dyDescent="0.3">
      <c r="C7" s="7" t="s">
        <v>13</v>
      </c>
      <c r="D7" s="8" t="s">
        <v>14</v>
      </c>
      <c r="E7" s="15"/>
      <c r="F7" s="16"/>
      <c r="G7" s="16"/>
      <c r="H7" s="16"/>
      <c r="I7" s="16"/>
      <c r="J7" s="17"/>
    </row>
    <row r="8" spans="3:10" ht="16.5" thickBot="1" x14ac:dyDescent="0.3">
      <c r="C8" s="7" t="s">
        <v>15</v>
      </c>
      <c r="D8" s="8" t="s">
        <v>16</v>
      </c>
      <c r="E8" s="9" t="s">
        <v>17</v>
      </c>
      <c r="F8" s="9" t="s">
        <v>17</v>
      </c>
      <c r="G8" s="9" t="s">
        <v>17</v>
      </c>
      <c r="H8" s="10" t="s">
        <v>18</v>
      </c>
      <c r="I8" s="15"/>
      <c r="J8" s="17"/>
    </row>
    <row r="9" spans="3:10" ht="16.5" thickBot="1" x14ac:dyDescent="0.3">
      <c r="C9" s="7" t="s">
        <v>19</v>
      </c>
      <c r="D9" s="8" t="s">
        <v>20</v>
      </c>
      <c r="E9" s="9" t="s">
        <v>17</v>
      </c>
      <c r="F9" s="9" t="s">
        <v>17</v>
      </c>
      <c r="G9" s="11" t="s">
        <v>21</v>
      </c>
      <c r="H9" s="10" t="s">
        <v>22</v>
      </c>
      <c r="I9" s="9" t="s">
        <v>23</v>
      </c>
      <c r="J9" s="12"/>
    </row>
    <row r="10" spans="3:10" ht="16.5" thickBot="1" x14ac:dyDescent="0.3">
      <c r="C10" s="7" t="s">
        <v>24</v>
      </c>
      <c r="D10" s="8" t="s">
        <v>25</v>
      </c>
      <c r="E10" s="10" t="s">
        <v>22</v>
      </c>
      <c r="F10" s="10" t="s">
        <v>26</v>
      </c>
      <c r="G10" s="9" t="s">
        <v>23</v>
      </c>
      <c r="H10" s="15"/>
      <c r="I10" s="16"/>
      <c r="J10" s="17"/>
    </row>
    <row r="11" spans="3:10" ht="16.5" thickBot="1" x14ac:dyDescent="0.3">
      <c r="C11" s="7" t="s">
        <v>27</v>
      </c>
      <c r="D11" s="8" t="s">
        <v>28</v>
      </c>
      <c r="E11" s="9" t="s">
        <v>17</v>
      </c>
      <c r="F11" s="9" t="s">
        <v>17</v>
      </c>
      <c r="G11" s="9" t="s">
        <v>17</v>
      </c>
      <c r="H11" s="9" t="s">
        <v>17</v>
      </c>
      <c r="I11" s="9" t="s">
        <v>29</v>
      </c>
      <c r="J11" s="12"/>
    </row>
    <row r="12" spans="3:10" ht="16.5" thickBot="1" x14ac:dyDescent="0.3">
      <c r="C12" s="7" t="s">
        <v>30</v>
      </c>
      <c r="D12" s="8" t="s">
        <v>31</v>
      </c>
      <c r="E12" s="9" t="s">
        <v>32</v>
      </c>
      <c r="F12" s="9" t="s">
        <v>33</v>
      </c>
      <c r="G12" s="9" t="s">
        <v>34</v>
      </c>
      <c r="H12" s="9" t="s">
        <v>35</v>
      </c>
      <c r="I12" s="15"/>
      <c r="J12" s="17"/>
    </row>
    <row r="13" spans="3:10" ht="16.5" thickBot="1" x14ac:dyDescent="0.3">
      <c r="C13" s="7" t="s">
        <v>36</v>
      </c>
      <c r="D13" s="8" t="s">
        <v>37</v>
      </c>
      <c r="E13" s="9" t="s">
        <v>32</v>
      </c>
      <c r="F13" s="9" t="s">
        <v>33</v>
      </c>
      <c r="G13" s="9" t="s">
        <v>34</v>
      </c>
      <c r="H13" s="9" t="s">
        <v>17</v>
      </c>
      <c r="I13" s="9" t="s">
        <v>35</v>
      </c>
      <c r="J13" s="12"/>
    </row>
    <row r="14" spans="3:10" ht="16.5" thickBot="1" x14ac:dyDescent="0.3">
      <c r="C14" s="7" t="s">
        <v>38</v>
      </c>
      <c r="D14" s="8" t="s">
        <v>39</v>
      </c>
      <c r="E14" s="9" t="s">
        <v>32</v>
      </c>
      <c r="F14" s="9" t="s">
        <v>33</v>
      </c>
      <c r="G14" s="9" t="s">
        <v>34</v>
      </c>
      <c r="H14" s="9" t="s">
        <v>40</v>
      </c>
      <c r="I14" s="9" t="s">
        <v>41</v>
      </c>
      <c r="J14" s="12"/>
    </row>
    <row r="15" spans="3:10" ht="16.5" thickBot="1" x14ac:dyDescent="0.3">
      <c r="C15" s="7" t="s">
        <v>42</v>
      </c>
      <c r="D15" s="8" t="s">
        <v>43</v>
      </c>
      <c r="E15" s="9" t="s">
        <v>32</v>
      </c>
      <c r="F15" s="9" t="s">
        <v>33</v>
      </c>
      <c r="G15" s="9" t="s">
        <v>34</v>
      </c>
      <c r="H15" s="15"/>
      <c r="I15" s="16"/>
      <c r="J15" s="17"/>
    </row>
    <row r="16" spans="3:10" ht="16.5" thickBot="1" x14ac:dyDescent="0.3">
      <c r="C16" s="7" t="s">
        <v>44</v>
      </c>
      <c r="D16" s="8" t="s">
        <v>45</v>
      </c>
      <c r="E16" s="9" t="s">
        <v>32</v>
      </c>
      <c r="F16" s="9" t="s">
        <v>33</v>
      </c>
      <c r="G16" s="9" t="s">
        <v>34</v>
      </c>
      <c r="H16" s="15"/>
      <c r="I16" s="16"/>
      <c r="J16" s="17"/>
    </row>
    <row r="17" spans="3:10" ht="16.5" thickBot="1" x14ac:dyDescent="0.3">
      <c r="C17" s="7" t="s">
        <v>46</v>
      </c>
      <c r="D17" s="8" t="s">
        <v>47</v>
      </c>
      <c r="E17" s="9" t="s">
        <v>32</v>
      </c>
      <c r="F17" s="9" t="s">
        <v>33</v>
      </c>
      <c r="G17" s="9" t="s">
        <v>34</v>
      </c>
      <c r="H17" s="15"/>
      <c r="I17" s="16"/>
      <c r="J17" s="17"/>
    </row>
    <row r="18" spans="3:10" ht="16.5" thickBot="1" x14ac:dyDescent="0.3">
      <c r="C18" s="7" t="s">
        <v>48</v>
      </c>
      <c r="D18" s="13" t="s">
        <v>49</v>
      </c>
      <c r="E18" s="15"/>
      <c r="F18" s="16"/>
      <c r="G18" s="16"/>
      <c r="H18" s="16"/>
      <c r="I18" s="16"/>
      <c r="J18" s="17"/>
    </row>
    <row r="19" spans="3:10" ht="16.5" thickBot="1" x14ac:dyDescent="0.3">
      <c r="C19" s="7" t="s">
        <v>50</v>
      </c>
      <c r="D19" s="8" t="s">
        <v>51</v>
      </c>
      <c r="E19" s="9" t="s">
        <v>52</v>
      </c>
      <c r="F19" s="15"/>
      <c r="G19" s="16"/>
      <c r="H19" s="16"/>
      <c r="I19" s="16"/>
      <c r="J19" s="17"/>
    </row>
    <row r="20" spans="3:10" ht="16.5" thickBot="1" x14ac:dyDescent="0.3">
      <c r="C20" s="7" t="s">
        <v>53</v>
      </c>
      <c r="D20" s="8" t="s">
        <v>54</v>
      </c>
      <c r="E20" s="9" t="s">
        <v>55</v>
      </c>
      <c r="F20" s="15"/>
      <c r="G20" s="16"/>
      <c r="H20" s="16"/>
      <c r="I20" s="16"/>
      <c r="J20" s="17"/>
    </row>
    <row r="21" spans="3:10" ht="16.5" thickBot="1" x14ac:dyDescent="0.3">
      <c r="C21" s="7" t="s">
        <v>56</v>
      </c>
      <c r="D21" s="8" t="s">
        <v>57</v>
      </c>
      <c r="E21" s="10" t="s">
        <v>58</v>
      </c>
      <c r="F21" s="15"/>
      <c r="G21" s="16"/>
      <c r="H21" s="16"/>
      <c r="I21" s="16"/>
      <c r="J21" s="17"/>
    </row>
    <row r="22" spans="3:10" ht="16.5" thickBot="1" x14ac:dyDescent="0.3">
      <c r="C22" s="7" t="s">
        <v>59</v>
      </c>
      <c r="D22" s="8" t="s">
        <v>60</v>
      </c>
      <c r="E22" s="9" t="s">
        <v>61</v>
      </c>
      <c r="F22" s="15"/>
      <c r="G22" s="16"/>
      <c r="H22" s="16"/>
      <c r="I22" s="16"/>
      <c r="J22" s="17"/>
    </row>
    <row r="23" spans="3:10" ht="16.5" thickBot="1" x14ac:dyDescent="0.3">
      <c r="C23" s="7" t="s">
        <v>62</v>
      </c>
      <c r="D23" s="8" t="s">
        <v>63</v>
      </c>
      <c r="E23" s="10" t="s">
        <v>64</v>
      </c>
      <c r="F23" s="15"/>
      <c r="G23" s="16"/>
      <c r="H23" s="16"/>
      <c r="I23" s="16"/>
      <c r="J23" s="17"/>
    </row>
    <row r="24" spans="3:10" ht="16.5" thickBot="1" x14ac:dyDescent="0.3">
      <c r="C24" s="7" t="s">
        <v>65</v>
      </c>
      <c r="D24" s="8" t="s">
        <v>66</v>
      </c>
      <c r="E24" s="10" t="s">
        <v>67</v>
      </c>
      <c r="F24" s="15"/>
      <c r="G24" s="16"/>
      <c r="H24" s="16"/>
      <c r="I24" s="16"/>
      <c r="J24" s="17"/>
    </row>
    <row r="25" spans="3:10" ht="16.5" thickBot="1" x14ac:dyDescent="0.3">
      <c r="C25" s="7" t="s">
        <v>68</v>
      </c>
      <c r="D25" s="8" t="s">
        <v>69</v>
      </c>
      <c r="E25" s="9" t="s">
        <v>32</v>
      </c>
      <c r="F25" s="9" t="s">
        <v>33</v>
      </c>
      <c r="G25" s="9" t="s">
        <v>34</v>
      </c>
      <c r="H25" s="9" t="s">
        <v>70</v>
      </c>
      <c r="I25" s="14" t="s">
        <v>71</v>
      </c>
      <c r="J25" s="12"/>
    </row>
    <row r="26" spans="3:10" ht="16.5" thickBot="1" x14ac:dyDescent="0.3">
      <c r="C26" s="7" t="s">
        <v>72</v>
      </c>
      <c r="D26" s="8" t="s">
        <v>73</v>
      </c>
      <c r="E26" s="9" t="s">
        <v>32</v>
      </c>
      <c r="F26" s="9" t="s">
        <v>33</v>
      </c>
      <c r="G26" s="9" t="s">
        <v>34</v>
      </c>
      <c r="H26" s="15"/>
      <c r="I26" s="16"/>
      <c r="J26" s="17"/>
    </row>
    <row r="27" spans="3:10" ht="16.5" thickBot="1" x14ac:dyDescent="0.3">
      <c r="C27" s="7" t="s">
        <v>74</v>
      </c>
      <c r="D27" s="8" t="s">
        <v>75</v>
      </c>
      <c r="E27" s="9" t="s">
        <v>32</v>
      </c>
      <c r="F27" s="9" t="s">
        <v>33</v>
      </c>
      <c r="G27" s="9" t="s">
        <v>34</v>
      </c>
      <c r="H27" s="9" t="s">
        <v>40</v>
      </c>
      <c r="I27" s="9" t="s">
        <v>41</v>
      </c>
      <c r="J27" s="12"/>
    </row>
    <row r="28" spans="3:10" ht="16.5" thickBot="1" x14ac:dyDescent="0.3">
      <c r="C28" s="7" t="s">
        <v>76</v>
      </c>
      <c r="D28" s="8" t="s">
        <v>77</v>
      </c>
      <c r="E28" s="9" t="s">
        <v>32</v>
      </c>
      <c r="F28" s="9" t="s">
        <v>33</v>
      </c>
      <c r="G28" s="9" t="s">
        <v>34</v>
      </c>
      <c r="H28" s="9" t="s">
        <v>17</v>
      </c>
      <c r="I28" s="9" t="s">
        <v>35</v>
      </c>
      <c r="J28" s="12"/>
    </row>
    <row r="29" spans="3:10" ht="16.5" thickBot="1" x14ac:dyDescent="0.3">
      <c r="C29" s="7" t="s">
        <v>78</v>
      </c>
      <c r="D29" s="8" t="s">
        <v>79</v>
      </c>
      <c r="E29" s="15"/>
      <c r="F29" s="16"/>
      <c r="G29" s="16"/>
      <c r="H29" s="16"/>
      <c r="I29" s="16"/>
      <c r="J29" s="17"/>
    </row>
    <row r="30" spans="3:10" ht="16.5" thickBot="1" x14ac:dyDescent="0.3">
      <c r="C30" s="7" t="s">
        <v>80</v>
      </c>
      <c r="D30" s="8" t="s">
        <v>81</v>
      </c>
      <c r="E30" s="15"/>
      <c r="F30" s="16"/>
      <c r="G30" s="16"/>
      <c r="H30" s="16"/>
      <c r="I30" s="16"/>
      <c r="J30" s="17"/>
    </row>
    <row r="31" spans="3:10" ht="16.5" thickBot="1" x14ac:dyDescent="0.3">
      <c r="C31" s="7" t="s">
        <v>82</v>
      </c>
      <c r="D31" s="8" t="s">
        <v>83</v>
      </c>
      <c r="E31" s="15"/>
      <c r="F31" s="16"/>
      <c r="G31" s="16"/>
      <c r="H31" s="16"/>
      <c r="I31" s="16"/>
      <c r="J31" s="17"/>
    </row>
    <row r="32" spans="3:10" ht="16.5" thickBot="1" x14ac:dyDescent="0.3">
      <c r="C32" s="7" t="s">
        <v>84</v>
      </c>
      <c r="D32" s="8" t="s">
        <v>85</v>
      </c>
      <c r="E32" s="9" t="s">
        <v>86</v>
      </c>
      <c r="F32" s="15"/>
      <c r="G32" s="16"/>
      <c r="H32" s="16"/>
      <c r="I32" s="16"/>
      <c r="J32" s="17"/>
    </row>
    <row r="33" spans="3:12" ht="16.5" thickBot="1" x14ac:dyDescent="0.3">
      <c r="C33" s="7" t="s">
        <v>87</v>
      </c>
      <c r="D33" s="8" t="s">
        <v>88</v>
      </c>
      <c r="E33" s="15"/>
      <c r="F33" s="16"/>
      <c r="G33" s="16"/>
      <c r="H33" s="16"/>
      <c r="I33" s="16"/>
      <c r="J33" s="17"/>
    </row>
    <row r="34" spans="3:12" ht="16.5" thickBot="1" x14ac:dyDescent="0.3">
      <c r="C34" s="7" t="s">
        <v>89</v>
      </c>
      <c r="D34" s="8" t="s">
        <v>90</v>
      </c>
      <c r="E34" s="15"/>
      <c r="F34" s="16"/>
      <c r="G34" s="16"/>
      <c r="H34" s="16"/>
      <c r="I34" s="16"/>
      <c r="J34" s="17"/>
    </row>
    <row r="35" spans="3:12" ht="16.5" thickBot="1" x14ac:dyDescent="0.3">
      <c r="C35" s="7" t="s">
        <v>91</v>
      </c>
      <c r="D35" s="8" t="s">
        <v>92</v>
      </c>
      <c r="E35" s="15"/>
      <c r="F35" s="16"/>
      <c r="G35" s="16"/>
      <c r="H35" s="16"/>
      <c r="I35" s="16"/>
      <c r="J35" s="17"/>
    </row>
    <row r="37" spans="3:12" ht="22.5" x14ac:dyDescent="0.25">
      <c r="C37" s="18" t="s">
        <v>94</v>
      </c>
      <c r="D37" s="18"/>
      <c r="E37" s="18"/>
      <c r="F37" s="18"/>
      <c r="G37" s="18"/>
      <c r="H37" s="18"/>
      <c r="I37" s="18"/>
      <c r="J37" s="19" t="s">
        <v>95</v>
      </c>
      <c r="K37" s="19"/>
      <c r="L37" s="19"/>
    </row>
    <row r="38" spans="3:12" x14ac:dyDescent="0.25">
      <c r="C38" s="20" t="s">
        <v>96</v>
      </c>
      <c r="D38" s="20" t="s">
        <v>97</v>
      </c>
      <c r="E38" s="21" t="s">
        <v>98</v>
      </c>
      <c r="F38" s="21" t="s">
        <v>99</v>
      </c>
      <c r="G38" s="21" t="s">
        <v>100</v>
      </c>
      <c r="H38" s="21" t="s">
        <v>101</v>
      </c>
      <c r="I38" s="21" t="s">
        <v>102</v>
      </c>
      <c r="J38" s="21" t="s">
        <v>103</v>
      </c>
      <c r="K38" s="21" t="s">
        <v>104</v>
      </c>
      <c r="L38" s="21" t="s">
        <v>105</v>
      </c>
    </row>
    <row r="39" spans="3:12" x14ac:dyDescent="0.25">
      <c r="C39" s="20" t="s">
        <v>106</v>
      </c>
      <c r="D39" s="22">
        <v>8</v>
      </c>
      <c r="E39" s="22">
        <v>8</v>
      </c>
      <c r="F39" s="22">
        <v>8</v>
      </c>
      <c r="G39" s="22">
        <v>8</v>
      </c>
      <c r="H39" s="22">
        <v>4</v>
      </c>
      <c r="I39" s="22">
        <v>4</v>
      </c>
      <c r="J39" s="22">
        <v>4</v>
      </c>
      <c r="K39" s="22">
        <v>4</v>
      </c>
      <c r="L39" s="22">
        <v>4</v>
      </c>
    </row>
    <row r="40" spans="3:12" x14ac:dyDescent="0.25">
      <c r="C40" s="23" t="s">
        <v>107</v>
      </c>
      <c r="D40" s="24" t="s">
        <v>108</v>
      </c>
      <c r="E40" s="23" t="s">
        <v>109</v>
      </c>
      <c r="F40" s="25" t="s">
        <v>110</v>
      </c>
      <c r="G40" s="25" t="s">
        <v>111</v>
      </c>
      <c r="H40" s="25" t="s">
        <v>112</v>
      </c>
      <c r="I40" s="25" t="s">
        <v>112</v>
      </c>
      <c r="J40" s="23" t="s">
        <v>113</v>
      </c>
      <c r="K40" s="26" t="s">
        <v>114</v>
      </c>
      <c r="L40" s="27"/>
    </row>
    <row r="41" spans="3:12" x14ac:dyDescent="0.25">
      <c r="C41" s="28" t="s">
        <v>115</v>
      </c>
      <c r="D41" s="28">
        <v>8</v>
      </c>
      <c r="E41" s="28">
        <v>4</v>
      </c>
      <c r="F41" s="28">
        <v>4</v>
      </c>
      <c r="G41" s="28">
        <v>4</v>
      </c>
      <c r="H41" s="28">
        <v>4</v>
      </c>
      <c r="I41" s="28">
        <v>4</v>
      </c>
      <c r="J41" s="29">
        <v>4</v>
      </c>
      <c r="K41" s="29">
        <v>4</v>
      </c>
      <c r="L41" s="29">
        <v>4</v>
      </c>
    </row>
    <row r="42" spans="3:12" x14ac:dyDescent="0.25">
      <c r="C42" s="23" t="s">
        <v>116</v>
      </c>
      <c r="D42" s="24" t="s">
        <v>117</v>
      </c>
      <c r="E42" s="23" t="s">
        <v>118</v>
      </c>
      <c r="F42" s="23" t="s">
        <v>119</v>
      </c>
      <c r="G42" s="25" t="s">
        <v>120</v>
      </c>
      <c r="H42" s="25" t="s">
        <v>121</v>
      </c>
      <c r="I42" s="23" t="s">
        <v>113</v>
      </c>
      <c r="J42" s="26" t="s">
        <v>114</v>
      </c>
      <c r="K42" s="30"/>
      <c r="L42" s="27"/>
    </row>
    <row r="43" spans="3:12" x14ac:dyDescent="0.25">
      <c r="C43" s="31" t="s">
        <v>122</v>
      </c>
      <c r="D43" s="32" t="s">
        <v>123</v>
      </c>
      <c r="E43" s="31" t="s">
        <v>118</v>
      </c>
      <c r="F43" s="31" t="s">
        <v>119</v>
      </c>
      <c r="G43" s="31" t="s">
        <v>124</v>
      </c>
      <c r="H43" s="31" t="s">
        <v>125</v>
      </c>
      <c r="I43" s="33" t="s">
        <v>126</v>
      </c>
      <c r="J43" s="31" t="s">
        <v>127</v>
      </c>
      <c r="K43" s="34"/>
      <c r="L43" s="35"/>
    </row>
    <row r="44" spans="3:12" x14ac:dyDescent="0.25">
      <c r="C44" s="20" t="s">
        <v>128</v>
      </c>
      <c r="D44" s="22">
        <v>8</v>
      </c>
      <c r="E44" s="22">
        <v>8</v>
      </c>
      <c r="F44" s="22">
        <v>8</v>
      </c>
      <c r="G44" s="22">
        <v>8</v>
      </c>
      <c r="H44" s="22">
        <v>2</v>
      </c>
      <c r="I44" s="22">
        <v>2</v>
      </c>
      <c r="J44" s="22">
        <v>2</v>
      </c>
      <c r="K44" s="22">
        <v>2</v>
      </c>
      <c r="L44" s="22">
        <v>2</v>
      </c>
    </row>
    <row r="45" spans="3:12" x14ac:dyDescent="0.25">
      <c r="C45" s="23" t="s">
        <v>129</v>
      </c>
      <c r="D45" s="24" t="s">
        <v>130</v>
      </c>
      <c r="E45" s="23" t="s">
        <v>109</v>
      </c>
      <c r="F45" s="25" t="s">
        <v>110</v>
      </c>
      <c r="G45" s="25" t="s">
        <v>111</v>
      </c>
      <c r="H45" s="23" t="s">
        <v>131</v>
      </c>
      <c r="I45" s="23" t="s">
        <v>132</v>
      </c>
      <c r="J45" s="26" t="s">
        <v>114</v>
      </c>
      <c r="K45" s="30"/>
      <c r="L45" s="27"/>
    </row>
    <row r="46" spans="3:12" x14ac:dyDescent="0.25">
      <c r="C46" s="23" t="s">
        <v>133</v>
      </c>
      <c r="D46" s="24" t="s">
        <v>134</v>
      </c>
      <c r="E46" s="23" t="s">
        <v>109</v>
      </c>
      <c r="F46" s="25" t="s">
        <v>110</v>
      </c>
      <c r="G46" s="25" t="s">
        <v>111</v>
      </c>
      <c r="H46" s="25" t="s">
        <v>112</v>
      </c>
      <c r="I46" s="25" t="s">
        <v>112</v>
      </c>
      <c r="J46" s="25" t="s">
        <v>112</v>
      </c>
      <c r="K46" s="25" t="s">
        <v>112</v>
      </c>
      <c r="L46" s="23" t="s">
        <v>135</v>
      </c>
    </row>
    <row r="47" spans="3:12" x14ac:dyDescent="0.25">
      <c r="C47" s="20" t="s">
        <v>136</v>
      </c>
      <c r="D47" s="22">
        <v>8</v>
      </c>
      <c r="E47" s="36" t="s">
        <v>137</v>
      </c>
      <c r="F47" s="36" t="s">
        <v>137</v>
      </c>
      <c r="G47" s="36" t="s">
        <v>137</v>
      </c>
      <c r="H47" s="22">
        <v>2</v>
      </c>
      <c r="I47" s="22">
        <v>2</v>
      </c>
      <c r="J47" s="22">
        <v>2</v>
      </c>
      <c r="K47" s="22">
        <v>2</v>
      </c>
      <c r="L47" s="22">
        <v>2</v>
      </c>
    </row>
    <row r="48" spans="3:12" x14ac:dyDescent="0.25">
      <c r="C48" s="23" t="s">
        <v>138</v>
      </c>
      <c r="D48" s="24" t="s">
        <v>139</v>
      </c>
      <c r="E48" s="23" t="s">
        <v>109</v>
      </c>
      <c r="F48" s="25" t="s">
        <v>110</v>
      </c>
      <c r="G48" s="37">
        <v>0</v>
      </c>
      <c r="H48" s="23" t="s">
        <v>140</v>
      </c>
      <c r="I48" s="25" t="s">
        <v>112</v>
      </c>
      <c r="J48" s="25" t="s">
        <v>112</v>
      </c>
      <c r="K48" s="23" t="s">
        <v>141</v>
      </c>
      <c r="L48" s="23" t="s">
        <v>142</v>
      </c>
    </row>
    <row r="49" spans="3:12" x14ac:dyDescent="0.25">
      <c r="C49" s="23" t="s">
        <v>143</v>
      </c>
      <c r="D49" s="24" t="s">
        <v>144</v>
      </c>
      <c r="E49" s="23" t="s">
        <v>109</v>
      </c>
      <c r="F49" s="25" t="s">
        <v>110</v>
      </c>
      <c r="G49" s="25" t="s">
        <v>111</v>
      </c>
      <c r="H49" s="23" t="s">
        <v>145</v>
      </c>
      <c r="I49" s="23" t="s">
        <v>146</v>
      </c>
      <c r="J49" s="23" t="s">
        <v>146</v>
      </c>
      <c r="K49" s="25" t="s">
        <v>147</v>
      </c>
      <c r="L49" s="38" t="s">
        <v>114</v>
      </c>
    </row>
    <row r="50" spans="3:12" x14ac:dyDescent="0.25">
      <c r="C50" s="23" t="s">
        <v>148</v>
      </c>
      <c r="D50" s="24" t="s">
        <v>149</v>
      </c>
      <c r="E50" s="25" t="s">
        <v>112</v>
      </c>
      <c r="F50" s="25" t="s">
        <v>112</v>
      </c>
      <c r="G50" s="25" t="s">
        <v>112</v>
      </c>
      <c r="H50" s="25" t="s">
        <v>150</v>
      </c>
      <c r="I50" s="39"/>
      <c r="J50" s="30"/>
      <c r="K50" s="30"/>
      <c r="L50" s="27"/>
    </row>
    <row r="52" spans="3:12" ht="22.5" x14ac:dyDescent="0.25">
      <c r="C52" s="40" t="s">
        <v>151</v>
      </c>
      <c r="D52" s="41"/>
      <c r="E52" s="41"/>
      <c r="F52" s="41"/>
      <c r="G52" s="41"/>
      <c r="H52" s="42" t="s">
        <v>152</v>
      </c>
      <c r="I52" s="43"/>
      <c r="J52" s="43"/>
    </row>
    <row r="53" spans="3:12" x14ac:dyDescent="0.25">
      <c r="C53" s="20" t="s">
        <v>96</v>
      </c>
      <c r="D53" s="21" t="s">
        <v>97</v>
      </c>
      <c r="E53" s="21" t="s">
        <v>98</v>
      </c>
      <c r="F53" s="21" t="s">
        <v>99</v>
      </c>
      <c r="G53" s="21" t="s">
        <v>100</v>
      </c>
      <c r="H53" s="21" t="s">
        <v>101</v>
      </c>
      <c r="I53" s="21" t="s">
        <v>102</v>
      </c>
      <c r="J53" s="21" t="s">
        <v>103</v>
      </c>
    </row>
    <row r="54" spans="3:12" x14ac:dyDescent="0.25">
      <c r="C54" s="20" t="s">
        <v>153</v>
      </c>
      <c r="D54" s="22">
        <v>2</v>
      </c>
      <c r="E54" s="22">
        <v>2</v>
      </c>
      <c r="F54" s="22">
        <v>2</v>
      </c>
      <c r="G54" s="22">
        <v>2</v>
      </c>
      <c r="H54" s="22">
        <v>2</v>
      </c>
      <c r="I54" s="22">
        <v>2</v>
      </c>
      <c r="J54" s="22">
        <v>2</v>
      </c>
    </row>
    <row r="55" spans="3:12" x14ac:dyDescent="0.25">
      <c r="C55" s="23" t="s">
        <v>154</v>
      </c>
      <c r="D55" s="24" t="s">
        <v>155</v>
      </c>
      <c r="E55" s="39"/>
      <c r="F55" s="30"/>
      <c r="G55" s="30"/>
      <c r="H55" s="30"/>
      <c r="I55" s="30"/>
      <c r="J55" s="27"/>
    </row>
    <row r="56" spans="3:12" x14ac:dyDescent="0.25">
      <c r="C56" s="23" t="s">
        <v>156</v>
      </c>
      <c r="D56" s="24" t="s">
        <v>157</v>
      </c>
      <c r="E56" s="39"/>
      <c r="F56" s="30"/>
      <c r="G56" s="30"/>
      <c r="H56" s="30"/>
      <c r="I56" s="30"/>
      <c r="J56" s="27"/>
    </row>
    <row r="57" spans="3:12" x14ac:dyDescent="0.25">
      <c r="C57" s="23" t="s">
        <v>158</v>
      </c>
      <c r="D57" s="24" t="s">
        <v>159</v>
      </c>
      <c r="E57" s="39"/>
      <c r="F57" s="30"/>
      <c r="G57" s="30"/>
      <c r="H57" s="30"/>
      <c r="I57" s="30"/>
      <c r="J57" s="27"/>
    </row>
    <row r="58" spans="3:12" x14ac:dyDescent="0.25">
      <c r="C58" s="23" t="s">
        <v>160</v>
      </c>
      <c r="D58" s="24" t="s">
        <v>161</v>
      </c>
      <c r="E58" s="25" t="s">
        <v>112</v>
      </c>
      <c r="F58" s="25" t="s">
        <v>112</v>
      </c>
      <c r="G58" s="25" t="s">
        <v>112</v>
      </c>
      <c r="H58" s="23" t="s">
        <v>162</v>
      </c>
      <c r="I58" s="39"/>
      <c r="J58" s="27"/>
    </row>
    <row r="59" spans="3:12" x14ac:dyDescent="0.25">
      <c r="C59" s="23" t="s">
        <v>163</v>
      </c>
      <c r="D59" s="24" t="s">
        <v>164</v>
      </c>
      <c r="E59" s="25" t="s">
        <v>112</v>
      </c>
      <c r="F59" s="25" t="s">
        <v>112</v>
      </c>
      <c r="G59" s="38" t="s">
        <v>165</v>
      </c>
      <c r="H59" s="23" t="s">
        <v>141</v>
      </c>
      <c r="I59" s="25" t="s">
        <v>142</v>
      </c>
      <c r="J59" s="44"/>
    </row>
    <row r="60" spans="3:12" x14ac:dyDescent="0.25">
      <c r="C60" s="23" t="s">
        <v>166</v>
      </c>
      <c r="D60" s="24" t="s">
        <v>167</v>
      </c>
      <c r="E60" s="23" t="s">
        <v>141</v>
      </c>
      <c r="F60" s="23" t="s">
        <v>168</v>
      </c>
      <c r="G60" s="25" t="s">
        <v>142</v>
      </c>
      <c r="H60" s="39"/>
      <c r="I60" s="30"/>
      <c r="J60" s="27"/>
    </row>
    <row r="61" spans="3:12" x14ac:dyDescent="0.25">
      <c r="C61" s="23" t="s">
        <v>169</v>
      </c>
      <c r="D61" s="24" t="s">
        <v>170</v>
      </c>
      <c r="E61" s="25" t="s">
        <v>171</v>
      </c>
      <c r="F61" s="39"/>
      <c r="G61" s="30"/>
      <c r="H61" s="30"/>
      <c r="I61" s="30"/>
      <c r="J61" s="27"/>
    </row>
    <row r="62" spans="3:12" x14ac:dyDescent="0.25">
      <c r="C62" s="23" t="s">
        <v>172</v>
      </c>
      <c r="D62" s="24" t="s">
        <v>173</v>
      </c>
      <c r="E62" s="25" t="s">
        <v>109</v>
      </c>
      <c r="F62" s="25" t="s">
        <v>110</v>
      </c>
      <c r="G62" s="25" t="s">
        <v>111</v>
      </c>
      <c r="H62" s="25" t="s">
        <v>174</v>
      </c>
      <c r="I62" s="25" t="s">
        <v>175</v>
      </c>
      <c r="J62" s="38" t="s">
        <v>114</v>
      </c>
    </row>
    <row r="63" spans="3:12" x14ac:dyDescent="0.25">
      <c r="C63" s="23" t="s">
        <v>176</v>
      </c>
      <c r="D63" s="24" t="s">
        <v>177</v>
      </c>
      <c r="E63" s="25" t="s">
        <v>109</v>
      </c>
      <c r="F63" s="25" t="s">
        <v>110</v>
      </c>
      <c r="G63" s="25" t="s">
        <v>111</v>
      </c>
      <c r="H63" s="39"/>
      <c r="I63" s="30"/>
      <c r="J63" s="27"/>
    </row>
    <row r="64" spans="3:12" x14ac:dyDescent="0.25">
      <c r="C64" s="23" t="s">
        <v>178</v>
      </c>
      <c r="D64" s="24" t="s">
        <v>179</v>
      </c>
      <c r="E64" s="25" t="s">
        <v>109</v>
      </c>
      <c r="F64" s="25" t="s">
        <v>110</v>
      </c>
      <c r="G64" s="25" t="s">
        <v>111</v>
      </c>
      <c r="H64" s="39"/>
      <c r="I64" s="30"/>
      <c r="J64" s="27"/>
    </row>
    <row r="65" spans="3:10" x14ac:dyDescent="0.25">
      <c r="C65" s="23" t="s">
        <v>180</v>
      </c>
      <c r="D65" s="24" t="s">
        <v>181</v>
      </c>
      <c r="E65" s="25" t="s">
        <v>109</v>
      </c>
      <c r="F65" s="25" t="s">
        <v>110</v>
      </c>
      <c r="G65" s="25" t="s">
        <v>111</v>
      </c>
      <c r="H65" s="39"/>
      <c r="I65" s="30"/>
      <c r="J65" s="27"/>
    </row>
    <row r="66" spans="3:10" x14ac:dyDescent="0.25">
      <c r="C66" s="23" t="s">
        <v>182</v>
      </c>
      <c r="D66" s="45" t="s">
        <v>183</v>
      </c>
      <c r="E66" s="39"/>
      <c r="F66" s="30"/>
      <c r="G66" s="30"/>
      <c r="H66" s="30"/>
      <c r="I66" s="30"/>
      <c r="J66" s="27"/>
    </row>
    <row r="67" spans="3:10" x14ac:dyDescent="0.25">
      <c r="C67" s="23" t="s">
        <v>184</v>
      </c>
      <c r="D67" s="24" t="s">
        <v>185</v>
      </c>
      <c r="E67" s="25" t="s">
        <v>186</v>
      </c>
      <c r="F67" s="39"/>
      <c r="G67" s="30"/>
      <c r="H67" s="30"/>
      <c r="I67" s="30"/>
      <c r="J67" s="27"/>
    </row>
    <row r="68" spans="3:10" x14ac:dyDescent="0.25">
      <c r="C68" s="23" t="s">
        <v>187</v>
      </c>
      <c r="D68" s="24" t="s">
        <v>188</v>
      </c>
      <c r="E68" s="25" t="s">
        <v>189</v>
      </c>
      <c r="F68" s="39"/>
      <c r="G68" s="30"/>
      <c r="H68" s="30"/>
      <c r="I68" s="30"/>
      <c r="J68" s="27"/>
    </row>
    <row r="69" spans="3:10" x14ac:dyDescent="0.25">
      <c r="C69" s="23" t="s">
        <v>190</v>
      </c>
      <c r="D69" s="24" t="s">
        <v>191</v>
      </c>
      <c r="E69" s="23" t="s">
        <v>192</v>
      </c>
      <c r="F69" s="39"/>
      <c r="G69" s="30"/>
      <c r="H69" s="30"/>
      <c r="I69" s="30"/>
      <c r="J69" s="27"/>
    </row>
    <row r="70" spans="3:10" x14ac:dyDescent="0.25">
      <c r="C70" s="23" t="s">
        <v>193</v>
      </c>
      <c r="D70" s="24" t="s">
        <v>194</v>
      </c>
      <c r="E70" s="25" t="s">
        <v>195</v>
      </c>
      <c r="F70" s="39"/>
      <c r="G70" s="30"/>
      <c r="H70" s="30"/>
      <c r="I70" s="30"/>
      <c r="J70" s="27"/>
    </row>
    <row r="71" spans="3:10" x14ac:dyDescent="0.25">
      <c r="C71" s="23" t="s">
        <v>196</v>
      </c>
      <c r="D71" s="24" t="s">
        <v>197</v>
      </c>
      <c r="E71" s="23" t="s">
        <v>198</v>
      </c>
      <c r="F71" s="39"/>
      <c r="G71" s="30"/>
      <c r="H71" s="30"/>
      <c r="I71" s="30"/>
      <c r="J71" s="27"/>
    </row>
    <row r="72" spans="3:10" x14ac:dyDescent="0.25">
      <c r="C72" s="23" t="s">
        <v>199</v>
      </c>
      <c r="D72" s="24" t="s">
        <v>200</v>
      </c>
      <c r="E72" s="23" t="s">
        <v>201</v>
      </c>
      <c r="F72" s="39"/>
      <c r="G72" s="30"/>
      <c r="H72" s="30"/>
      <c r="I72" s="30"/>
      <c r="J72" s="27"/>
    </row>
    <row r="73" spans="3:10" x14ac:dyDescent="0.25">
      <c r="C73" s="23" t="s">
        <v>202</v>
      </c>
      <c r="D73" s="24" t="s">
        <v>203</v>
      </c>
      <c r="E73" s="39"/>
      <c r="F73" s="30"/>
      <c r="G73" s="30"/>
      <c r="H73" s="30"/>
      <c r="I73" s="30"/>
      <c r="J73" s="27"/>
    </row>
    <row r="74" spans="3:10" x14ac:dyDescent="0.25">
      <c r="C74" s="23" t="s">
        <v>204</v>
      </c>
      <c r="D74" s="24" t="s">
        <v>205</v>
      </c>
      <c r="E74" s="39"/>
      <c r="F74" s="30"/>
      <c r="G74" s="30"/>
      <c r="H74" s="30"/>
      <c r="I74" s="30"/>
      <c r="J74" s="27"/>
    </row>
    <row r="75" spans="3:10" x14ac:dyDescent="0.25">
      <c r="C75" s="23" t="s">
        <v>206</v>
      </c>
      <c r="D75" s="24" t="s">
        <v>207</v>
      </c>
      <c r="E75" s="39"/>
      <c r="F75" s="30"/>
      <c r="G75" s="30"/>
      <c r="H75" s="30"/>
      <c r="I75" s="30"/>
      <c r="J75" s="27"/>
    </row>
    <row r="76" spans="3:10" x14ac:dyDescent="0.25">
      <c r="C76" s="23" t="s">
        <v>208</v>
      </c>
      <c r="D76" s="24" t="s">
        <v>209</v>
      </c>
      <c r="E76" s="39"/>
      <c r="F76" s="30"/>
      <c r="G76" s="30"/>
      <c r="H76" s="30"/>
      <c r="I76" s="30"/>
      <c r="J76" s="27"/>
    </row>
    <row r="77" spans="3:10" x14ac:dyDescent="0.25">
      <c r="C77" s="20" t="s">
        <v>96</v>
      </c>
      <c r="D77" s="21" t="s">
        <v>97</v>
      </c>
      <c r="E77" s="21" t="s">
        <v>98</v>
      </c>
      <c r="F77" s="21" t="s">
        <v>99</v>
      </c>
      <c r="G77" s="21" t="s">
        <v>100</v>
      </c>
      <c r="H77" s="21" t="s">
        <v>101</v>
      </c>
      <c r="I77" s="21" t="s">
        <v>102</v>
      </c>
      <c r="J77" s="21" t="s">
        <v>103</v>
      </c>
    </row>
    <row r="78" spans="3:10" x14ac:dyDescent="0.25">
      <c r="C78" s="20" t="s">
        <v>153</v>
      </c>
      <c r="D78" s="22">
        <v>2</v>
      </c>
      <c r="E78" s="22">
        <v>2</v>
      </c>
      <c r="F78" s="22">
        <v>2</v>
      </c>
      <c r="G78" s="22">
        <v>2</v>
      </c>
      <c r="H78" s="22">
        <v>2</v>
      </c>
      <c r="I78" s="22">
        <v>4</v>
      </c>
      <c r="J78" s="22">
        <v>2</v>
      </c>
    </row>
    <row r="79" spans="3:10" x14ac:dyDescent="0.25">
      <c r="C79" s="23" t="s">
        <v>210</v>
      </c>
      <c r="D79" s="24" t="s">
        <v>211</v>
      </c>
      <c r="E79" s="25" t="s">
        <v>109</v>
      </c>
      <c r="F79" s="25" t="s">
        <v>110</v>
      </c>
      <c r="G79" s="25" t="s">
        <v>111</v>
      </c>
      <c r="H79" s="25" t="s">
        <v>112</v>
      </c>
      <c r="I79" s="23" t="s">
        <v>146</v>
      </c>
      <c r="J79" s="25" t="s">
        <v>147</v>
      </c>
    </row>
    <row r="80" spans="3:10" x14ac:dyDescent="0.25">
      <c r="C80" s="23" t="s">
        <v>212</v>
      </c>
      <c r="D80" s="24" t="s">
        <v>213</v>
      </c>
      <c r="E80" s="25" t="s">
        <v>109</v>
      </c>
      <c r="F80" s="25" t="s">
        <v>110</v>
      </c>
      <c r="G80" s="25" t="s">
        <v>111</v>
      </c>
      <c r="H80" s="25" t="s">
        <v>112</v>
      </c>
      <c r="I80" s="23" t="s">
        <v>146</v>
      </c>
      <c r="J80" s="25" t="s">
        <v>147</v>
      </c>
    </row>
    <row r="81" spans="3:10" x14ac:dyDescent="0.25">
      <c r="C81" s="23" t="s">
        <v>143</v>
      </c>
      <c r="D81" s="24" t="s">
        <v>144</v>
      </c>
      <c r="E81" s="25" t="s">
        <v>109</v>
      </c>
      <c r="F81" s="25" t="s">
        <v>110</v>
      </c>
      <c r="G81" s="25" t="s">
        <v>111</v>
      </c>
      <c r="H81" s="23" t="s">
        <v>145</v>
      </c>
      <c r="I81" s="23" t="s">
        <v>146</v>
      </c>
      <c r="J81" s="25" t="s">
        <v>147</v>
      </c>
    </row>
  </sheetData>
  <mergeCells count="2">
    <mergeCell ref="C37:I37"/>
    <mergeCell ref="J37:L37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7358-F991-403A-B0E0-D38B8EE7810B}">
  <dimension ref="A1:L81"/>
  <sheetViews>
    <sheetView tabSelected="1" topLeftCell="A28" zoomScale="130" zoomScaleNormal="130" workbookViewId="0">
      <selection activeCell="I71" sqref="I71"/>
    </sheetView>
  </sheetViews>
  <sheetFormatPr baseColWidth="10" defaultRowHeight="15" x14ac:dyDescent="0.25"/>
  <cols>
    <col min="1" max="1" width="30.28515625" customWidth="1"/>
  </cols>
  <sheetData>
    <row r="1" spans="1:8" ht="15.75" thickBot="1" x14ac:dyDescent="0.3">
      <c r="A1" t="s">
        <v>93</v>
      </c>
    </row>
    <row r="2" spans="1:8" ht="18.7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18.75" thickBot="1" x14ac:dyDescent="0.3">
      <c r="A3" s="4" t="s">
        <v>8</v>
      </c>
      <c r="B3" s="5">
        <v>8</v>
      </c>
      <c r="C3" s="6">
        <v>8</v>
      </c>
      <c r="D3" s="6">
        <v>8</v>
      </c>
      <c r="E3" s="6">
        <v>8</v>
      </c>
      <c r="F3" s="6">
        <v>8</v>
      </c>
      <c r="G3" s="6">
        <v>8</v>
      </c>
      <c r="H3" s="6">
        <v>8</v>
      </c>
    </row>
    <row r="4" spans="1:8" ht="16.5" thickBot="1" x14ac:dyDescent="0.3">
      <c r="A4" s="7" t="s">
        <v>9</v>
      </c>
      <c r="B4" s="8" t="s">
        <v>10</v>
      </c>
      <c r="C4" s="15"/>
      <c r="D4" s="16"/>
      <c r="E4" s="16"/>
      <c r="F4" s="16"/>
      <c r="G4" s="16"/>
      <c r="H4" s="17"/>
    </row>
    <row r="5" spans="1:8" ht="18.75" thickBot="1" x14ac:dyDescent="0.3">
      <c r="A5" s="7" t="s">
        <v>11</v>
      </c>
      <c r="B5" s="8" t="s">
        <v>12</v>
      </c>
      <c r="C5" s="15"/>
      <c r="D5" s="16"/>
      <c r="E5" s="16"/>
      <c r="F5" s="16"/>
      <c r="G5" s="16"/>
      <c r="H5" s="17"/>
    </row>
    <row r="6" spans="1:8" ht="16.5" thickBot="1" x14ac:dyDescent="0.3">
      <c r="A6" s="7" t="s">
        <v>13</v>
      </c>
      <c r="B6" s="8" t="s">
        <v>14</v>
      </c>
      <c r="C6" s="15"/>
      <c r="D6" s="16"/>
      <c r="E6" s="16"/>
      <c r="F6" s="16"/>
      <c r="G6" s="16"/>
      <c r="H6" s="17"/>
    </row>
    <row r="7" spans="1:8" ht="18.75" thickBot="1" x14ac:dyDescent="0.3">
      <c r="A7" s="7" t="s">
        <v>15</v>
      </c>
      <c r="B7" s="8" t="s">
        <v>16</v>
      </c>
      <c r="C7" s="9" t="s">
        <v>17</v>
      </c>
      <c r="D7" s="9" t="s">
        <v>17</v>
      </c>
      <c r="E7" s="9" t="s">
        <v>17</v>
      </c>
      <c r="F7" s="10" t="s">
        <v>18</v>
      </c>
      <c r="G7" s="15"/>
      <c r="H7" s="17"/>
    </row>
    <row r="8" spans="1:8" ht="18.75" thickBot="1" x14ac:dyDescent="0.3">
      <c r="A8" s="7" t="s">
        <v>19</v>
      </c>
      <c r="B8" s="8" t="s">
        <v>20</v>
      </c>
      <c r="C8" s="9" t="s">
        <v>17</v>
      </c>
      <c r="D8" s="9" t="s">
        <v>17</v>
      </c>
      <c r="E8" s="11" t="s">
        <v>21</v>
      </c>
      <c r="F8" s="10" t="s">
        <v>22</v>
      </c>
      <c r="G8" s="9" t="s">
        <v>23</v>
      </c>
      <c r="H8" s="12"/>
    </row>
    <row r="9" spans="1:8" ht="16.5" thickBot="1" x14ac:dyDescent="0.3">
      <c r="A9" s="7" t="s">
        <v>24</v>
      </c>
      <c r="B9" s="8" t="s">
        <v>25</v>
      </c>
      <c r="C9" s="10" t="s">
        <v>22</v>
      </c>
      <c r="D9" s="10" t="s">
        <v>26</v>
      </c>
      <c r="E9" s="9" t="s">
        <v>23</v>
      </c>
      <c r="F9" s="15"/>
      <c r="G9" s="16"/>
      <c r="H9" s="17"/>
    </row>
    <row r="10" spans="1:8" ht="16.5" thickBot="1" x14ac:dyDescent="0.3">
      <c r="A10" s="7" t="s">
        <v>27</v>
      </c>
      <c r="B10" s="8" t="s">
        <v>28</v>
      </c>
      <c r="C10" s="9" t="s">
        <v>17</v>
      </c>
      <c r="D10" s="9" t="s">
        <v>17</v>
      </c>
      <c r="E10" s="9" t="s">
        <v>17</v>
      </c>
      <c r="F10" s="9" t="s">
        <v>17</v>
      </c>
      <c r="G10" s="9" t="s">
        <v>29</v>
      </c>
      <c r="H10" s="12"/>
    </row>
    <row r="11" spans="1:8" ht="16.5" thickBot="1" x14ac:dyDescent="0.3">
      <c r="A11" s="7" t="s">
        <v>30</v>
      </c>
      <c r="B11" s="8" t="s">
        <v>31</v>
      </c>
      <c r="C11" s="9" t="s">
        <v>32</v>
      </c>
      <c r="D11" s="9" t="s">
        <v>33</v>
      </c>
      <c r="E11" s="9" t="s">
        <v>34</v>
      </c>
      <c r="F11" s="9" t="s">
        <v>35</v>
      </c>
      <c r="G11" s="15"/>
      <c r="H11" s="17"/>
    </row>
    <row r="12" spans="1:8" ht="16.5" thickBot="1" x14ac:dyDescent="0.3">
      <c r="A12" s="7" t="s">
        <v>36</v>
      </c>
      <c r="B12" s="8" t="s">
        <v>37</v>
      </c>
      <c r="C12" s="9" t="s">
        <v>32</v>
      </c>
      <c r="D12" s="9" t="s">
        <v>33</v>
      </c>
      <c r="E12" s="9" t="s">
        <v>34</v>
      </c>
      <c r="F12" s="9" t="s">
        <v>17</v>
      </c>
      <c r="G12" s="9" t="s">
        <v>35</v>
      </c>
      <c r="H12" s="12"/>
    </row>
    <row r="13" spans="1:8" ht="16.5" thickBot="1" x14ac:dyDescent="0.3">
      <c r="A13" s="7" t="s">
        <v>38</v>
      </c>
      <c r="B13" s="8" t="s">
        <v>39</v>
      </c>
      <c r="C13" s="9" t="s">
        <v>32</v>
      </c>
      <c r="D13" s="9" t="s">
        <v>33</v>
      </c>
      <c r="E13" s="9" t="s">
        <v>34</v>
      </c>
      <c r="F13" s="9" t="s">
        <v>40</v>
      </c>
      <c r="G13" s="9" t="s">
        <v>41</v>
      </c>
      <c r="H13" s="12"/>
    </row>
    <row r="14" spans="1:8" ht="18.75" thickBot="1" x14ac:dyDescent="0.3">
      <c r="A14" s="7" t="s">
        <v>42</v>
      </c>
      <c r="B14" s="8" t="s">
        <v>43</v>
      </c>
      <c r="C14" s="9" t="s">
        <v>32</v>
      </c>
      <c r="D14" s="9" t="s">
        <v>33</v>
      </c>
      <c r="E14" s="9" t="s">
        <v>34</v>
      </c>
      <c r="F14" s="15"/>
      <c r="G14" s="16"/>
      <c r="H14" s="17"/>
    </row>
    <row r="15" spans="1:8" ht="18.75" thickBot="1" x14ac:dyDescent="0.3">
      <c r="A15" s="7" t="s">
        <v>44</v>
      </c>
      <c r="B15" s="8" t="s">
        <v>45</v>
      </c>
      <c r="C15" s="9" t="s">
        <v>32</v>
      </c>
      <c r="D15" s="9" t="s">
        <v>33</v>
      </c>
      <c r="E15" s="9" t="s">
        <v>34</v>
      </c>
      <c r="F15" s="15"/>
      <c r="G15" s="16"/>
      <c r="H15" s="17"/>
    </row>
    <row r="16" spans="1:8" ht="16.5" thickBot="1" x14ac:dyDescent="0.3">
      <c r="A16" s="7" t="s">
        <v>46</v>
      </c>
      <c r="B16" s="8" t="s">
        <v>217</v>
      </c>
      <c r="C16" s="9" t="s">
        <v>32</v>
      </c>
      <c r="D16" s="9" t="s">
        <v>33</v>
      </c>
      <c r="E16" s="9" t="s">
        <v>34</v>
      </c>
      <c r="F16" s="15"/>
      <c r="G16" s="16"/>
      <c r="H16" s="17"/>
    </row>
    <row r="17" spans="1:8" ht="16.5" thickBot="1" x14ac:dyDescent="0.3">
      <c r="A17" s="7" t="s">
        <v>48</v>
      </c>
      <c r="B17" s="8" t="s">
        <v>215</v>
      </c>
      <c r="C17" s="15"/>
      <c r="D17" s="16"/>
      <c r="E17" s="16"/>
      <c r="F17" s="16"/>
      <c r="G17" s="16"/>
      <c r="H17" s="17"/>
    </row>
    <row r="18" spans="1:8" ht="16.5" thickBot="1" x14ac:dyDescent="0.3">
      <c r="A18" s="7" t="s">
        <v>48</v>
      </c>
      <c r="B18" s="8" t="s">
        <v>216</v>
      </c>
      <c r="C18" s="15"/>
      <c r="D18" s="16"/>
      <c r="E18" s="16"/>
      <c r="F18" s="16"/>
      <c r="G18" s="16"/>
      <c r="H18" s="17"/>
    </row>
    <row r="19" spans="1:8" ht="16.5" thickBot="1" x14ac:dyDescent="0.3">
      <c r="A19" s="7" t="s">
        <v>50</v>
      </c>
      <c r="B19" s="8" t="s">
        <v>51</v>
      </c>
      <c r="C19" s="9" t="s">
        <v>52</v>
      </c>
      <c r="D19" s="15"/>
      <c r="E19" s="16"/>
      <c r="F19" s="16"/>
      <c r="G19" s="16"/>
      <c r="H19" s="17"/>
    </row>
    <row r="20" spans="1:8" ht="18.75" thickBot="1" x14ac:dyDescent="0.3">
      <c r="A20" s="7" t="s">
        <v>53</v>
      </c>
      <c r="B20" s="8" t="s">
        <v>54</v>
      </c>
      <c r="C20" s="9" t="s">
        <v>55</v>
      </c>
      <c r="D20" s="15"/>
      <c r="E20" s="16"/>
      <c r="F20" s="16"/>
      <c r="G20" s="16"/>
      <c r="H20" s="17"/>
    </row>
    <row r="21" spans="1:8" ht="18.75" thickBot="1" x14ac:dyDescent="0.3">
      <c r="A21" s="7" t="s">
        <v>56</v>
      </c>
      <c r="B21" s="8" t="s">
        <v>57</v>
      </c>
      <c r="C21" s="10" t="s">
        <v>58</v>
      </c>
      <c r="D21" s="15"/>
      <c r="E21" s="16"/>
      <c r="F21" s="16"/>
      <c r="G21" s="16"/>
      <c r="H21" s="17"/>
    </row>
    <row r="22" spans="1:8" ht="18.75" thickBot="1" x14ac:dyDescent="0.3">
      <c r="A22" s="7" t="s">
        <v>59</v>
      </c>
      <c r="B22" s="8" t="s">
        <v>60</v>
      </c>
      <c r="C22" s="9" t="s">
        <v>61</v>
      </c>
      <c r="D22" s="15"/>
      <c r="E22" s="16"/>
      <c r="F22" s="16"/>
      <c r="G22" s="16"/>
      <c r="H22" s="17"/>
    </row>
    <row r="23" spans="1:8" ht="18.75" thickBot="1" x14ac:dyDescent="0.3">
      <c r="A23" s="7" t="s">
        <v>62</v>
      </c>
      <c r="B23" s="8" t="s">
        <v>63</v>
      </c>
      <c r="C23" s="10" t="s">
        <v>64</v>
      </c>
      <c r="D23" s="15"/>
      <c r="E23" s="16"/>
      <c r="F23" s="16"/>
      <c r="G23" s="16"/>
      <c r="H23" s="17"/>
    </row>
    <row r="24" spans="1:8" ht="18.75" thickBot="1" x14ac:dyDescent="0.3">
      <c r="A24" s="7" t="s">
        <v>65</v>
      </c>
      <c r="B24" s="8" t="s">
        <v>66</v>
      </c>
      <c r="C24" s="10" t="s">
        <v>67</v>
      </c>
      <c r="D24" s="15"/>
      <c r="E24" s="16"/>
      <c r="F24" s="16"/>
      <c r="G24" s="16"/>
      <c r="H24" s="17"/>
    </row>
    <row r="25" spans="1:8" ht="18.75" thickBot="1" x14ac:dyDescent="0.3">
      <c r="A25" s="7" t="s">
        <v>68</v>
      </c>
      <c r="B25" s="8" t="s">
        <v>69</v>
      </c>
      <c r="C25" s="9" t="s">
        <v>32</v>
      </c>
      <c r="D25" s="9" t="s">
        <v>33</v>
      </c>
      <c r="E25" s="9" t="s">
        <v>34</v>
      </c>
      <c r="F25" s="9" t="s">
        <v>70</v>
      </c>
      <c r="G25" s="14" t="s">
        <v>71</v>
      </c>
      <c r="H25" s="12"/>
    </row>
    <row r="26" spans="1:8" ht="18.75" thickBot="1" x14ac:dyDescent="0.3">
      <c r="A26" s="7" t="s">
        <v>72</v>
      </c>
      <c r="B26" s="8" t="s">
        <v>73</v>
      </c>
      <c r="C26" s="9" t="s">
        <v>32</v>
      </c>
      <c r="D26" s="9" t="s">
        <v>33</v>
      </c>
      <c r="E26" s="9" t="s">
        <v>34</v>
      </c>
      <c r="F26" s="15"/>
      <c r="G26" s="16"/>
      <c r="H26" s="17"/>
    </row>
    <row r="27" spans="1:8" ht="18.75" thickBot="1" x14ac:dyDescent="0.3">
      <c r="A27" s="7" t="s">
        <v>74</v>
      </c>
      <c r="B27" s="8" t="s">
        <v>75</v>
      </c>
      <c r="C27" s="9" t="s">
        <v>32</v>
      </c>
      <c r="D27" s="9" t="s">
        <v>33</v>
      </c>
      <c r="E27" s="9" t="s">
        <v>34</v>
      </c>
      <c r="F27" s="9" t="s">
        <v>40</v>
      </c>
      <c r="G27" s="9" t="s">
        <v>41</v>
      </c>
      <c r="H27" s="12"/>
    </row>
    <row r="28" spans="1:8" ht="18.75" thickBot="1" x14ac:dyDescent="0.3">
      <c r="A28" s="7" t="s">
        <v>76</v>
      </c>
      <c r="B28" s="8" t="s">
        <v>77</v>
      </c>
      <c r="C28" s="9" t="s">
        <v>32</v>
      </c>
      <c r="D28" s="9" t="s">
        <v>33</v>
      </c>
      <c r="E28" s="9" t="s">
        <v>34</v>
      </c>
      <c r="F28" s="9" t="s">
        <v>17</v>
      </c>
      <c r="G28" s="9" t="s">
        <v>35</v>
      </c>
      <c r="H28" s="12"/>
    </row>
    <row r="29" spans="1:8" ht="18.75" thickBot="1" x14ac:dyDescent="0.3">
      <c r="A29" s="7" t="s">
        <v>78</v>
      </c>
      <c r="B29" s="8" t="s">
        <v>79</v>
      </c>
      <c r="C29" s="15"/>
      <c r="D29" s="16"/>
      <c r="E29" s="16"/>
      <c r="F29" s="16"/>
      <c r="G29" s="16"/>
      <c r="H29" s="17"/>
    </row>
    <row r="30" spans="1:8" ht="18.75" thickBot="1" x14ac:dyDescent="0.3">
      <c r="A30" s="7" t="s">
        <v>80</v>
      </c>
      <c r="B30" s="8" t="s">
        <v>81</v>
      </c>
      <c r="C30" s="15"/>
      <c r="D30" s="16"/>
      <c r="E30" s="16"/>
      <c r="F30" s="16"/>
      <c r="G30" s="16"/>
      <c r="H30" s="17"/>
    </row>
    <row r="31" spans="1:8" ht="16.5" thickBot="1" x14ac:dyDescent="0.3">
      <c r="A31" s="7" t="s">
        <v>82</v>
      </c>
      <c r="B31" s="8" t="s">
        <v>83</v>
      </c>
      <c r="C31" s="15"/>
      <c r="D31" s="16"/>
      <c r="E31" s="16"/>
      <c r="F31" s="16"/>
      <c r="G31" s="16"/>
      <c r="H31" s="17"/>
    </row>
    <row r="32" spans="1:8" ht="18.75" thickBot="1" x14ac:dyDescent="0.3">
      <c r="A32" s="7" t="s">
        <v>84</v>
      </c>
      <c r="B32" s="8" t="s">
        <v>85</v>
      </c>
      <c r="C32" s="9" t="s">
        <v>86</v>
      </c>
      <c r="D32" s="15"/>
      <c r="E32" s="16"/>
      <c r="F32" s="16"/>
      <c r="G32" s="16"/>
      <c r="H32" s="17"/>
    </row>
    <row r="33" spans="1:12" ht="16.5" thickBot="1" x14ac:dyDescent="0.3">
      <c r="A33" s="7" t="s">
        <v>87</v>
      </c>
      <c r="B33" s="8" t="s">
        <v>88</v>
      </c>
      <c r="C33" s="15"/>
      <c r="D33" s="16"/>
      <c r="E33" s="16"/>
      <c r="F33" s="16"/>
      <c r="G33" s="16"/>
      <c r="H33" s="17"/>
    </row>
    <row r="34" spans="1:12" ht="16.5" thickBot="1" x14ac:dyDescent="0.3">
      <c r="A34" s="7" t="s">
        <v>89</v>
      </c>
      <c r="B34" s="8" t="s">
        <v>90</v>
      </c>
      <c r="C34" s="15"/>
      <c r="D34" s="16"/>
      <c r="E34" s="16"/>
      <c r="F34" s="16"/>
      <c r="G34" s="16"/>
      <c r="H34" s="17"/>
    </row>
    <row r="35" spans="1:12" ht="16.5" thickBot="1" x14ac:dyDescent="0.3">
      <c r="A35" s="7" t="s">
        <v>91</v>
      </c>
      <c r="B35" s="8" t="s">
        <v>92</v>
      </c>
      <c r="C35" s="15"/>
      <c r="D35" s="16"/>
      <c r="E35" s="16"/>
      <c r="F35" s="16"/>
      <c r="G35" s="16"/>
      <c r="H35" s="17"/>
    </row>
    <row r="37" spans="1:12" ht="22.5" x14ac:dyDescent="0.25">
      <c r="A37" s="46" t="s">
        <v>214</v>
      </c>
      <c r="B37" s="46"/>
      <c r="C37" s="46"/>
      <c r="D37" s="46"/>
      <c r="E37" s="46"/>
      <c r="F37" s="46"/>
      <c r="G37" s="46"/>
      <c r="H37" s="48" t="s">
        <v>95</v>
      </c>
      <c r="I37" s="48"/>
      <c r="J37" s="48"/>
    </row>
    <row r="38" spans="1:12" x14ac:dyDescent="0.25">
      <c r="A38" s="20" t="s">
        <v>96</v>
      </c>
      <c r="B38" s="20" t="s">
        <v>97</v>
      </c>
      <c r="C38" s="21" t="s">
        <v>98</v>
      </c>
      <c r="D38" s="21" t="s">
        <v>99</v>
      </c>
      <c r="E38" s="21" t="s">
        <v>100</v>
      </c>
      <c r="F38" s="21" t="s">
        <v>101</v>
      </c>
      <c r="G38" s="21" t="s">
        <v>102</v>
      </c>
      <c r="H38" s="21" t="s">
        <v>103</v>
      </c>
      <c r="I38" s="21" t="s">
        <v>104</v>
      </c>
      <c r="J38" s="21" t="s">
        <v>105</v>
      </c>
    </row>
    <row r="39" spans="1:12" x14ac:dyDescent="0.25">
      <c r="A39" s="20" t="s">
        <v>106</v>
      </c>
      <c r="B39" s="22">
        <v>8</v>
      </c>
      <c r="C39" s="22">
        <v>8</v>
      </c>
      <c r="D39" s="22">
        <v>8</v>
      </c>
      <c r="E39" s="22">
        <v>8</v>
      </c>
      <c r="F39" s="22">
        <v>4</v>
      </c>
      <c r="G39" s="22">
        <v>4</v>
      </c>
      <c r="H39" s="22">
        <v>4</v>
      </c>
      <c r="I39" s="22">
        <v>4</v>
      </c>
      <c r="J39" s="22">
        <v>4</v>
      </c>
    </row>
    <row r="40" spans="1:12" x14ac:dyDescent="0.25">
      <c r="A40" s="23" t="s">
        <v>107</v>
      </c>
      <c r="B40" s="24" t="s">
        <v>108</v>
      </c>
      <c r="C40" s="23" t="s">
        <v>109</v>
      </c>
      <c r="D40" s="25" t="s">
        <v>110</v>
      </c>
      <c r="E40" s="25" t="s">
        <v>111</v>
      </c>
      <c r="F40" s="25" t="s">
        <v>112</v>
      </c>
      <c r="G40" s="25" t="s">
        <v>112</v>
      </c>
      <c r="H40" s="23" t="s">
        <v>113</v>
      </c>
      <c r="I40" s="26" t="s">
        <v>114</v>
      </c>
      <c r="J40" s="27"/>
      <c r="L40" t="str">
        <f>"@" &amp; " " &amp; B40 &amp; " " &amp;A40</f>
        <v>@ 3Bh Fast Read Dual Output</v>
      </c>
    </row>
    <row r="41" spans="1:12" x14ac:dyDescent="0.25">
      <c r="A41" s="28" t="s">
        <v>115</v>
      </c>
      <c r="B41" s="28">
        <v>8</v>
      </c>
      <c r="C41" s="28">
        <v>4</v>
      </c>
      <c r="D41" s="28">
        <v>4</v>
      </c>
      <c r="E41" s="28">
        <v>4</v>
      </c>
      <c r="F41" s="28">
        <v>4</v>
      </c>
      <c r="G41" s="28">
        <v>4</v>
      </c>
      <c r="H41" s="29">
        <v>4</v>
      </c>
      <c r="I41" s="29">
        <v>4</v>
      </c>
      <c r="J41" s="29">
        <v>4</v>
      </c>
    </row>
    <row r="42" spans="1:12" x14ac:dyDescent="0.25">
      <c r="A42" s="23" t="s">
        <v>116</v>
      </c>
      <c r="B42" s="24" t="s">
        <v>117</v>
      </c>
      <c r="C42" s="23" t="s">
        <v>118</v>
      </c>
      <c r="D42" s="23" t="s">
        <v>119</v>
      </c>
      <c r="E42" s="25" t="s">
        <v>120</v>
      </c>
      <c r="F42" s="25" t="s">
        <v>121</v>
      </c>
      <c r="G42" s="23" t="s">
        <v>113</v>
      </c>
      <c r="H42" s="26" t="s">
        <v>114</v>
      </c>
      <c r="I42" s="30"/>
      <c r="J42" s="27"/>
      <c r="L42" t="str">
        <f>"@" &amp; " " &amp; B42 &amp; " " &amp;A42</f>
        <v>@ BBh Fast Read Dual I/O</v>
      </c>
    </row>
    <row r="43" spans="1:12" x14ac:dyDescent="0.25">
      <c r="A43" s="31" t="s">
        <v>122</v>
      </c>
      <c r="B43" s="32" t="s">
        <v>123</v>
      </c>
      <c r="C43" s="31" t="s">
        <v>118</v>
      </c>
      <c r="D43" s="31" t="s">
        <v>119</v>
      </c>
      <c r="E43" s="31" t="s">
        <v>124</v>
      </c>
      <c r="F43" s="31" t="s">
        <v>125</v>
      </c>
      <c r="G43" s="33" t="s">
        <v>126</v>
      </c>
      <c r="H43" s="31" t="s">
        <v>127</v>
      </c>
      <c r="I43" s="34"/>
      <c r="J43" s="35"/>
      <c r="L43" t="str">
        <f>"@" &amp; " " &amp; B43 &amp; " " &amp;A43</f>
        <v>@ 92h Mftr./Device ID Dual I/O</v>
      </c>
    </row>
    <row r="44" spans="1:12" x14ac:dyDescent="0.25">
      <c r="A44" s="20" t="s">
        <v>128</v>
      </c>
      <c r="B44" s="22">
        <v>8</v>
      </c>
      <c r="C44" s="22">
        <v>8</v>
      </c>
      <c r="D44" s="22">
        <v>8</v>
      </c>
      <c r="E44" s="22">
        <v>8</v>
      </c>
      <c r="F44" s="22">
        <v>2</v>
      </c>
      <c r="G44" s="22">
        <v>2</v>
      </c>
      <c r="H44" s="22">
        <v>2</v>
      </c>
      <c r="I44" s="22">
        <v>2</v>
      </c>
      <c r="J44" s="22">
        <v>2</v>
      </c>
    </row>
    <row r="45" spans="1:12" x14ac:dyDescent="0.25">
      <c r="A45" s="23" t="s">
        <v>129</v>
      </c>
      <c r="B45" s="24" t="s">
        <v>130</v>
      </c>
      <c r="C45" s="23" t="s">
        <v>109</v>
      </c>
      <c r="D45" s="25" t="s">
        <v>110</v>
      </c>
      <c r="E45" s="25" t="s">
        <v>111</v>
      </c>
      <c r="F45" s="23" t="s">
        <v>131</v>
      </c>
      <c r="G45" s="23" t="s">
        <v>132</v>
      </c>
      <c r="H45" s="26" t="s">
        <v>114</v>
      </c>
      <c r="I45" s="30"/>
      <c r="J45" s="27"/>
      <c r="L45" t="str">
        <f>"@" &amp; " " &amp; B45 &amp; " " &amp;A45</f>
        <v>@ 32h Quad Input Page Program</v>
      </c>
    </row>
    <row r="46" spans="1:12" x14ac:dyDescent="0.25">
      <c r="A46" s="23" t="s">
        <v>133</v>
      </c>
      <c r="B46" s="24" t="s">
        <v>134</v>
      </c>
      <c r="C46" s="23" t="s">
        <v>109</v>
      </c>
      <c r="D46" s="25" t="s">
        <v>110</v>
      </c>
      <c r="E46" s="25" t="s">
        <v>111</v>
      </c>
      <c r="F46" s="25" t="s">
        <v>112</v>
      </c>
      <c r="G46" s="25" t="s">
        <v>112</v>
      </c>
      <c r="H46" s="25" t="s">
        <v>112</v>
      </c>
      <c r="I46" s="25" t="s">
        <v>112</v>
      </c>
      <c r="J46" s="23" t="s">
        <v>135</v>
      </c>
      <c r="L46" t="str">
        <f>"@" &amp; " " &amp; B46 &amp; " " &amp;A46</f>
        <v>@ 6Bh Fast Read Quad Output</v>
      </c>
    </row>
    <row r="47" spans="1:12" x14ac:dyDescent="0.25">
      <c r="A47" s="20" t="s">
        <v>136</v>
      </c>
      <c r="B47" s="22">
        <v>8</v>
      </c>
      <c r="C47" s="36" t="s">
        <v>137</v>
      </c>
      <c r="D47" s="36" t="s">
        <v>137</v>
      </c>
      <c r="E47" s="36" t="s">
        <v>137</v>
      </c>
      <c r="F47" s="22">
        <v>2</v>
      </c>
      <c r="G47" s="22">
        <v>2</v>
      </c>
      <c r="H47" s="22">
        <v>2</v>
      </c>
      <c r="I47" s="22">
        <v>2</v>
      </c>
      <c r="J47" s="22">
        <v>2</v>
      </c>
    </row>
    <row r="48" spans="1:12" x14ac:dyDescent="0.25">
      <c r="A48" s="23" t="s">
        <v>138</v>
      </c>
      <c r="B48" s="24" t="s">
        <v>139</v>
      </c>
      <c r="C48" s="23" t="s">
        <v>109</v>
      </c>
      <c r="D48" s="25" t="s">
        <v>110</v>
      </c>
      <c r="E48" s="37">
        <v>0</v>
      </c>
      <c r="F48" s="23" t="s">
        <v>140</v>
      </c>
      <c r="G48" s="25" t="s">
        <v>112</v>
      </c>
      <c r="H48" s="25" t="s">
        <v>112</v>
      </c>
      <c r="I48" s="23" t="s">
        <v>141</v>
      </c>
      <c r="J48" s="23" t="s">
        <v>142</v>
      </c>
      <c r="L48" t="str">
        <f>"@" &amp; " " &amp; B48 &amp; " " &amp;A48</f>
        <v>@ 94h Mftr./Device ID Quad I/O</v>
      </c>
    </row>
    <row r="49" spans="1:12" x14ac:dyDescent="0.25">
      <c r="A49" s="23" t="s">
        <v>143</v>
      </c>
      <c r="B49" s="24" t="s">
        <v>144</v>
      </c>
      <c r="C49" s="23" t="s">
        <v>109</v>
      </c>
      <c r="D49" s="25" t="s">
        <v>110</v>
      </c>
      <c r="E49" s="25" t="s">
        <v>111</v>
      </c>
      <c r="F49" s="23" t="s">
        <v>145</v>
      </c>
      <c r="G49" s="23" t="s">
        <v>146</v>
      </c>
      <c r="H49" s="23" t="s">
        <v>146</v>
      </c>
      <c r="I49" s="25" t="s">
        <v>147</v>
      </c>
      <c r="J49" s="38" t="s">
        <v>114</v>
      </c>
      <c r="L49" t="str">
        <f>"@" &amp; " " &amp; B49 &amp; " " &amp;A49</f>
        <v>@ EBh Fast Read Quad I/O</v>
      </c>
    </row>
    <row r="50" spans="1:12" x14ac:dyDescent="0.25">
      <c r="A50" s="23" t="s">
        <v>148</v>
      </c>
      <c r="B50" s="24" t="s">
        <v>149</v>
      </c>
      <c r="C50" s="25" t="s">
        <v>112</v>
      </c>
      <c r="D50" s="25" t="s">
        <v>112</v>
      </c>
      <c r="E50" s="25" t="s">
        <v>112</v>
      </c>
      <c r="F50" s="25" t="s">
        <v>150</v>
      </c>
      <c r="G50" s="39"/>
      <c r="H50" s="30"/>
      <c r="I50" s="30"/>
      <c r="J50" s="27"/>
      <c r="L50" t="str">
        <f>"@" &amp; " " &amp; B50 &amp; " " &amp;A50</f>
        <v>@ 77h Set Burst with Wrap</v>
      </c>
    </row>
    <row r="52" spans="1:12" ht="22.5" x14ac:dyDescent="0.25">
      <c r="A52" s="47" t="s">
        <v>151</v>
      </c>
      <c r="B52" s="47"/>
      <c r="C52" s="47"/>
      <c r="D52" s="47"/>
      <c r="E52" s="47"/>
      <c r="F52" s="48" t="s">
        <v>152</v>
      </c>
      <c r="G52" s="48"/>
      <c r="H52" s="48"/>
    </row>
    <row r="53" spans="1:12" x14ac:dyDescent="0.25">
      <c r="A53" s="20" t="s">
        <v>96</v>
      </c>
      <c r="B53" s="21" t="s">
        <v>97</v>
      </c>
      <c r="C53" s="21" t="s">
        <v>98</v>
      </c>
      <c r="D53" s="21" t="s">
        <v>99</v>
      </c>
      <c r="E53" s="21" t="s">
        <v>100</v>
      </c>
      <c r="F53" s="21" t="s">
        <v>101</v>
      </c>
      <c r="G53" s="21" t="s">
        <v>102</v>
      </c>
      <c r="H53" s="21" t="s">
        <v>103</v>
      </c>
    </row>
    <row r="54" spans="1:12" x14ac:dyDescent="0.25">
      <c r="A54" s="20" t="s">
        <v>153</v>
      </c>
      <c r="B54" s="22">
        <v>2</v>
      </c>
      <c r="C54" s="22">
        <v>2</v>
      </c>
      <c r="D54" s="22">
        <v>2</v>
      </c>
      <c r="E54" s="22">
        <v>2</v>
      </c>
      <c r="F54" s="22">
        <v>2</v>
      </c>
      <c r="G54" s="22">
        <v>2</v>
      </c>
      <c r="H54" s="22">
        <v>2</v>
      </c>
    </row>
    <row r="55" spans="1:12" x14ac:dyDescent="0.25">
      <c r="A55" s="23" t="s">
        <v>154</v>
      </c>
      <c r="B55" s="24" t="s">
        <v>155</v>
      </c>
      <c r="C55" s="39"/>
      <c r="D55" s="30"/>
      <c r="E55" s="30"/>
      <c r="F55" s="30"/>
      <c r="G55" s="30"/>
      <c r="H55" s="27"/>
      <c r="L55" t="str">
        <f>"@" &amp; " " &amp; B55 &amp; " " &amp;A55</f>
        <v>@ 06h Write Enable</v>
      </c>
    </row>
    <row r="56" spans="1:12" x14ac:dyDescent="0.25">
      <c r="A56" s="23" t="s">
        <v>156</v>
      </c>
      <c r="B56" s="24" t="s">
        <v>157</v>
      </c>
      <c r="C56" s="39"/>
      <c r="D56" s="30"/>
      <c r="E56" s="30"/>
      <c r="F56" s="30"/>
      <c r="G56" s="30"/>
      <c r="H56" s="27"/>
      <c r="L56" t="str">
        <f>"@" &amp; " " &amp; B56 &amp; " " &amp;A56</f>
        <v>@ 50h Volatile SR Write Enable</v>
      </c>
    </row>
    <row r="57" spans="1:12" x14ac:dyDescent="0.25">
      <c r="A57" s="23" t="s">
        <v>158</v>
      </c>
      <c r="B57" s="24" t="s">
        <v>159</v>
      </c>
      <c r="C57" s="39"/>
      <c r="D57" s="30"/>
      <c r="E57" s="30"/>
      <c r="F57" s="30"/>
      <c r="G57" s="30"/>
      <c r="H57" s="27"/>
      <c r="L57" t="str">
        <f>"@" &amp; " " &amp; B57 &amp; " " &amp;A57</f>
        <v>@ 04h Write Disable</v>
      </c>
    </row>
    <row r="58" spans="1:12" x14ac:dyDescent="0.25">
      <c r="A58" s="23" t="s">
        <v>160</v>
      </c>
      <c r="B58" s="24" t="s">
        <v>161</v>
      </c>
      <c r="C58" s="25" t="s">
        <v>112</v>
      </c>
      <c r="D58" s="25" t="s">
        <v>112</v>
      </c>
      <c r="E58" s="25" t="s">
        <v>112</v>
      </c>
      <c r="F58" s="23" t="s">
        <v>162</v>
      </c>
      <c r="G58" s="39"/>
      <c r="H58" s="27"/>
      <c r="L58" t="str">
        <f>"@" &amp; " " &amp; B58 &amp; " " &amp;A58</f>
        <v>@ ABh Release Power-down / ID</v>
      </c>
    </row>
    <row r="59" spans="1:12" x14ac:dyDescent="0.25">
      <c r="A59" s="23" t="s">
        <v>163</v>
      </c>
      <c r="B59" s="24" t="s">
        <v>164</v>
      </c>
      <c r="C59" s="25" t="s">
        <v>112</v>
      </c>
      <c r="D59" s="25" t="s">
        <v>112</v>
      </c>
      <c r="E59" s="38" t="s">
        <v>165</v>
      </c>
      <c r="F59" s="23" t="s">
        <v>141</v>
      </c>
      <c r="G59" s="25" t="s">
        <v>142</v>
      </c>
      <c r="H59" s="44"/>
      <c r="L59" t="str">
        <f>"@" &amp; " " &amp; B59 &amp; " " &amp;A59</f>
        <v>@ 90h Manufacturer/Device ID</v>
      </c>
    </row>
    <row r="60" spans="1:12" x14ac:dyDescent="0.25">
      <c r="A60" s="23" t="s">
        <v>166</v>
      </c>
      <c r="B60" s="24" t="s">
        <v>167</v>
      </c>
      <c r="C60" s="23" t="s">
        <v>141</v>
      </c>
      <c r="D60" s="23" t="s">
        <v>168</v>
      </c>
      <c r="E60" s="25" t="s">
        <v>142</v>
      </c>
      <c r="F60" s="39"/>
      <c r="G60" s="30"/>
      <c r="H60" s="27"/>
      <c r="L60" t="str">
        <f>"@" &amp; " " &amp; B60 &amp; " " &amp;A60</f>
        <v>@ 9Fh JEDEC ID</v>
      </c>
    </row>
    <row r="61" spans="1:12" x14ac:dyDescent="0.25">
      <c r="A61" s="23" t="s">
        <v>169</v>
      </c>
      <c r="B61" s="24" t="s">
        <v>170</v>
      </c>
      <c r="C61" s="25" t="s">
        <v>171</v>
      </c>
      <c r="D61" s="39"/>
      <c r="E61" s="30"/>
      <c r="F61" s="30"/>
      <c r="G61" s="30"/>
      <c r="H61" s="27"/>
      <c r="L61" t="str">
        <f>"@" &amp; " " &amp; B61 &amp; " " &amp;A61</f>
        <v>@ C0h Set Read Parameters</v>
      </c>
    </row>
    <row r="62" spans="1:12" x14ac:dyDescent="0.25">
      <c r="A62" s="23" t="s">
        <v>172</v>
      </c>
      <c r="B62" s="24" t="s">
        <v>173</v>
      </c>
      <c r="C62" s="25" t="s">
        <v>109</v>
      </c>
      <c r="D62" s="25" t="s">
        <v>110</v>
      </c>
      <c r="E62" s="25" t="s">
        <v>111</v>
      </c>
      <c r="F62" s="25" t="s">
        <v>174</v>
      </c>
      <c r="G62" s="25" t="s">
        <v>175</v>
      </c>
      <c r="H62" s="38" t="s">
        <v>114</v>
      </c>
      <c r="L62" t="str">
        <f>"@" &amp; " " &amp; B62 &amp; " " &amp;A62</f>
        <v>@ 02h Page Program</v>
      </c>
    </row>
    <row r="63" spans="1:12" x14ac:dyDescent="0.25">
      <c r="A63" s="23" t="s">
        <v>176</v>
      </c>
      <c r="B63" s="24" t="s">
        <v>177</v>
      </c>
      <c r="C63" s="25" t="s">
        <v>109</v>
      </c>
      <c r="D63" s="25" t="s">
        <v>110</v>
      </c>
      <c r="E63" s="25" t="s">
        <v>111</v>
      </c>
      <c r="F63" s="39"/>
      <c r="G63" s="30"/>
      <c r="H63" s="27"/>
      <c r="L63" t="str">
        <f>"@" &amp; " " &amp; B63 &amp; " " &amp;A63</f>
        <v>@ 20h Sector Erase (4KB)</v>
      </c>
    </row>
    <row r="64" spans="1:12" x14ac:dyDescent="0.25">
      <c r="A64" s="23" t="s">
        <v>178</v>
      </c>
      <c r="B64" s="24" t="s">
        <v>179</v>
      </c>
      <c r="C64" s="25" t="s">
        <v>109</v>
      </c>
      <c r="D64" s="25" t="s">
        <v>110</v>
      </c>
      <c r="E64" s="25" t="s">
        <v>111</v>
      </c>
      <c r="F64" s="39"/>
      <c r="G64" s="30"/>
      <c r="H64" s="27"/>
      <c r="L64" t="str">
        <f>"@" &amp; " " &amp; B64 &amp; " " &amp;A64</f>
        <v>@ 52h Block Erase (32KB)</v>
      </c>
    </row>
    <row r="65" spans="1:12" x14ac:dyDescent="0.25">
      <c r="A65" s="23" t="s">
        <v>180</v>
      </c>
      <c r="B65" s="24" t="s">
        <v>181</v>
      </c>
      <c r="C65" s="25" t="s">
        <v>109</v>
      </c>
      <c r="D65" s="25" t="s">
        <v>110</v>
      </c>
      <c r="E65" s="25" t="s">
        <v>111</v>
      </c>
      <c r="F65" s="39"/>
      <c r="G65" s="30"/>
      <c r="H65" s="27"/>
      <c r="L65" t="str">
        <f>"@" &amp; " " &amp; B65 &amp; " " &amp;A65</f>
        <v>@ D8h Block Erase (64KB)</v>
      </c>
    </row>
    <row r="66" spans="1:12" x14ac:dyDescent="0.25">
      <c r="A66" s="23" t="s">
        <v>182</v>
      </c>
      <c r="B66" s="45" t="s">
        <v>183</v>
      </c>
      <c r="C66" s="39"/>
      <c r="D66" s="30"/>
      <c r="E66" s="30"/>
      <c r="F66" s="30"/>
      <c r="G66" s="30"/>
      <c r="H66" s="27"/>
    </row>
    <row r="67" spans="1:12" x14ac:dyDescent="0.25">
      <c r="A67" s="23" t="s">
        <v>184</v>
      </c>
      <c r="B67" s="24" t="s">
        <v>185</v>
      </c>
      <c r="C67" s="25" t="s">
        <v>186</v>
      </c>
      <c r="D67" s="39"/>
      <c r="E67" s="30"/>
      <c r="F67" s="30"/>
      <c r="G67" s="30"/>
      <c r="H67" s="27"/>
      <c r="L67" t="str">
        <f>"@" &amp; " " &amp; B67 &amp; " " &amp;A67</f>
        <v>@ 05h Read Status Register-1</v>
      </c>
    </row>
    <row r="68" spans="1:12" x14ac:dyDescent="0.25">
      <c r="A68" s="23" t="s">
        <v>187</v>
      </c>
      <c r="B68" s="24" t="s">
        <v>188</v>
      </c>
      <c r="C68" s="25" t="s">
        <v>189</v>
      </c>
      <c r="D68" s="39"/>
      <c r="E68" s="30"/>
      <c r="F68" s="30"/>
      <c r="G68" s="30"/>
      <c r="H68" s="27"/>
      <c r="L68" t="str">
        <f>"@" &amp; " " &amp; B68 &amp; " " &amp;A68</f>
        <v>@ 01h Write Status Register-1</v>
      </c>
    </row>
    <row r="69" spans="1:12" x14ac:dyDescent="0.25">
      <c r="A69" s="23" t="s">
        <v>190</v>
      </c>
      <c r="B69" s="24" t="s">
        <v>191</v>
      </c>
      <c r="C69" s="23" t="s">
        <v>192</v>
      </c>
      <c r="D69" s="39"/>
      <c r="E69" s="30"/>
      <c r="F69" s="30"/>
      <c r="G69" s="30"/>
      <c r="H69" s="27"/>
      <c r="L69" t="str">
        <f>"@" &amp; " " &amp; B69 &amp; " " &amp;A69</f>
        <v>@ 35h Read Status Register-2</v>
      </c>
    </row>
    <row r="70" spans="1:12" x14ac:dyDescent="0.25">
      <c r="A70" s="23" t="s">
        <v>193</v>
      </c>
      <c r="B70" s="24" t="s">
        <v>194</v>
      </c>
      <c r="C70" s="25" t="s">
        <v>195</v>
      </c>
      <c r="D70" s="39"/>
      <c r="E70" s="30"/>
      <c r="F70" s="30"/>
      <c r="G70" s="30"/>
      <c r="H70" s="27"/>
      <c r="L70" t="str">
        <f>"@" &amp; " " &amp; B70 &amp; " " &amp;A70</f>
        <v>@ 31h Write Status Register-2</v>
      </c>
    </row>
    <row r="71" spans="1:12" x14ac:dyDescent="0.25">
      <c r="A71" s="23" t="s">
        <v>196</v>
      </c>
      <c r="B71" s="24" t="s">
        <v>197</v>
      </c>
      <c r="C71" s="23" t="s">
        <v>198</v>
      </c>
      <c r="D71" s="39"/>
      <c r="E71" s="30"/>
      <c r="F71" s="30"/>
      <c r="G71" s="30"/>
      <c r="H71" s="27"/>
      <c r="L71" t="str">
        <f>"@" &amp; " " &amp; B71 &amp; " " &amp;A71</f>
        <v>@ 15h Read Status Register-3</v>
      </c>
    </row>
    <row r="72" spans="1:12" x14ac:dyDescent="0.25">
      <c r="A72" s="23" t="s">
        <v>199</v>
      </c>
      <c r="B72" s="24" t="s">
        <v>200</v>
      </c>
      <c r="C72" s="23" t="s">
        <v>201</v>
      </c>
      <c r="D72" s="39"/>
      <c r="E72" s="30"/>
      <c r="F72" s="30"/>
      <c r="G72" s="30"/>
      <c r="H72" s="27"/>
      <c r="L72" t="str">
        <f>"@" &amp; " " &amp; B72 &amp; " " &amp;A72</f>
        <v>@ 11h Write Status Register-3</v>
      </c>
    </row>
    <row r="73" spans="1:12" x14ac:dyDescent="0.25">
      <c r="A73" s="23" t="s">
        <v>202</v>
      </c>
      <c r="B73" s="24" t="s">
        <v>203</v>
      </c>
      <c r="C73" s="39"/>
      <c r="D73" s="30"/>
      <c r="E73" s="30"/>
      <c r="F73" s="30"/>
      <c r="G73" s="30"/>
      <c r="H73" s="27"/>
      <c r="L73" t="str">
        <f>"@" &amp; " " &amp; B73 &amp; " " &amp;A73</f>
        <v>@ B9h Power-down</v>
      </c>
    </row>
    <row r="74" spans="1:12" x14ac:dyDescent="0.25">
      <c r="A74" s="23" t="s">
        <v>204</v>
      </c>
      <c r="B74" s="24" t="s">
        <v>205</v>
      </c>
      <c r="C74" s="39"/>
      <c r="D74" s="30"/>
      <c r="E74" s="30"/>
      <c r="F74" s="30"/>
      <c r="G74" s="30"/>
      <c r="H74" s="27"/>
      <c r="L74" t="str">
        <f>"@" &amp; " " &amp; B74 &amp; " " &amp;A74</f>
        <v>@ 66h Enable Reset</v>
      </c>
    </row>
    <row r="75" spans="1:12" x14ac:dyDescent="0.25">
      <c r="A75" s="23" t="s">
        <v>206</v>
      </c>
      <c r="B75" s="24" t="s">
        <v>207</v>
      </c>
      <c r="C75" s="39"/>
      <c r="D75" s="30"/>
      <c r="E75" s="30"/>
      <c r="F75" s="30"/>
      <c r="G75" s="30"/>
      <c r="H75" s="27"/>
      <c r="L75" t="str">
        <f>"@" &amp; " " &amp; B75 &amp; " " &amp;A75</f>
        <v>@ 99h Reset Device</v>
      </c>
    </row>
    <row r="76" spans="1:12" x14ac:dyDescent="0.25">
      <c r="A76" s="23" t="s">
        <v>208</v>
      </c>
      <c r="B76" s="24" t="s">
        <v>209</v>
      </c>
      <c r="C76" s="39"/>
      <c r="D76" s="30"/>
      <c r="E76" s="30"/>
      <c r="F76" s="30"/>
      <c r="G76" s="30"/>
      <c r="H76" s="27"/>
      <c r="L76" t="str">
        <f>"@" &amp; " " &amp; B76 &amp; " " &amp;A76</f>
        <v>@ FFh Exit QPI Mode</v>
      </c>
    </row>
    <row r="77" spans="1:12" x14ac:dyDescent="0.25">
      <c r="A77" s="20" t="s">
        <v>96</v>
      </c>
      <c r="B77" s="21" t="s">
        <v>97</v>
      </c>
      <c r="C77" s="21" t="s">
        <v>98</v>
      </c>
      <c r="D77" s="21" t="s">
        <v>99</v>
      </c>
      <c r="E77" s="21" t="s">
        <v>100</v>
      </c>
      <c r="F77" s="21" t="s">
        <v>101</v>
      </c>
      <c r="G77" s="21" t="s">
        <v>102</v>
      </c>
      <c r="H77" s="21" t="s">
        <v>103</v>
      </c>
    </row>
    <row r="78" spans="1:12" x14ac:dyDescent="0.25">
      <c r="A78" s="20" t="s">
        <v>153</v>
      </c>
      <c r="B78" s="22">
        <v>2</v>
      </c>
      <c r="C78" s="22">
        <v>2</v>
      </c>
      <c r="D78" s="22">
        <v>2</v>
      </c>
      <c r="E78" s="22">
        <v>2</v>
      </c>
      <c r="F78" s="22">
        <v>2</v>
      </c>
      <c r="G78" s="22">
        <v>4</v>
      </c>
      <c r="H78" s="22">
        <v>2</v>
      </c>
    </row>
    <row r="79" spans="1:12" x14ac:dyDescent="0.25">
      <c r="A79" s="23" t="s">
        <v>210</v>
      </c>
      <c r="B79" s="24" t="s">
        <v>211</v>
      </c>
      <c r="C79" s="25" t="s">
        <v>109</v>
      </c>
      <c r="D79" s="25" t="s">
        <v>110</v>
      </c>
      <c r="E79" s="25" t="s">
        <v>111</v>
      </c>
      <c r="F79" s="25" t="s">
        <v>112</v>
      </c>
      <c r="G79" s="23" t="s">
        <v>146</v>
      </c>
      <c r="H79" s="25" t="s">
        <v>147</v>
      </c>
      <c r="L79" t="str">
        <f>"@" &amp; " " &amp; B79 &amp; " " &amp;A79</f>
        <v>@ 0Bh Fast Read</v>
      </c>
    </row>
    <row r="80" spans="1:12" x14ac:dyDescent="0.25">
      <c r="A80" s="23" t="s">
        <v>212</v>
      </c>
      <c r="B80" s="24" t="s">
        <v>213</v>
      </c>
      <c r="C80" s="25" t="s">
        <v>109</v>
      </c>
      <c r="D80" s="25" t="s">
        <v>110</v>
      </c>
      <c r="E80" s="25" t="s">
        <v>111</v>
      </c>
      <c r="F80" s="25" t="s">
        <v>112</v>
      </c>
      <c r="G80" s="23" t="s">
        <v>146</v>
      </c>
      <c r="H80" s="25" t="s">
        <v>147</v>
      </c>
      <c r="L80" t="str">
        <f>"@" &amp; " " &amp; B80 &amp; " " &amp;A80</f>
        <v>@ 0Ch Burst Read with Wrap</v>
      </c>
    </row>
    <row r="81" spans="1:12" x14ac:dyDescent="0.25">
      <c r="A81" s="23" t="s">
        <v>143</v>
      </c>
      <c r="B81" s="24" t="s">
        <v>144</v>
      </c>
      <c r="C81" s="25" t="s">
        <v>109</v>
      </c>
      <c r="D81" s="25" t="s">
        <v>110</v>
      </c>
      <c r="E81" s="25" t="s">
        <v>111</v>
      </c>
      <c r="F81" s="23" t="s">
        <v>145</v>
      </c>
      <c r="G81" s="23" t="s">
        <v>146</v>
      </c>
      <c r="H81" s="25" t="s">
        <v>147</v>
      </c>
      <c r="L81" t="str">
        <f>"@" &amp; " " &amp; B81 &amp; " " &amp;A81</f>
        <v>@ EBh Fast Read Quad I/O</v>
      </c>
    </row>
  </sheetData>
  <mergeCells count="4">
    <mergeCell ref="A37:G37"/>
    <mergeCell ref="H37:J37"/>
    <mergeCell ref="A52:E52"/>
    <mergeCell ref="F52:H52"/>
  </mergeCells>
  <pageMargins left="0.7" right="0.7" top="0.78740157499999996" bottom="0.78740157499999996" header="0.3" footer="0.3"/>
  <pageSetup paperSize="9" orientation="portrait" horizontalDpi="0" verticalDpi="0" r:id="rId1"/>
  <drawing r:id="rId2"/>
  <webPublishItems count="2">
    <webPublishItem id="31685" divId="W25Q32RV_SPI_QPI_commands_31685" sourceType="sheet" destinationFile="D:\prj\rp2350-rppico2\mecrisp-stellaris\mecrisp-stellaris-source\rp2350-ra\doc\W25Q32RV_SPI_QPI_commands.htm"/>
    <webPublishItem id="21483" divId="W25Q32RV_SPI_QPI_commands_21483" sourceType="sheet" destinationFile="D:\prj\rp2350-rppico2\mecrisp-stellaris\mecrisp-stellaris-source\rp2350-ra\doc\W25Q32RV_SPI_QPI_commands.htm" title="W25Q32RV commands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D51E-AA9B-4622-8B23-76CAC7B0204E}">
  <dimension ref="A1:J35"/>
  <sheetViews>
    <sheetView topLeftCell="A22" zoomScale="160" zoomScaleNormal="160" workbookViewId="0">
      <selection activeCell="J4" sqref="J4:J35"/>
    </sheetView>
  </sheetViews>
  <sheetFormatPr baseColWidth="10" defaultRowHeight="15" x14ac:dyDescent="0.25"/>
  <cols>
    <col min="1" max="1" width="22.7109375" customWidth="1"/>
  </cols>
  <sheetData>
    <row r="1" spans="1:10" ht="15.75" thickBot="1" x14ac:dyDescent="0.3">
      <c r="A1" t="s">
        <v>93</v>
      </c>
    </row>
    <row r="2" spans="1:10" ht="15.7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10" ht="15.75" thickBot="1" x14ac:dyDescent="0.3">
      <c r="A3" s="4" t="s">
        <v>8</v>
      </c>
      <c r="B3" s="5">
        <v>8</v>
      </c>
      <c r="C3" s="6">
        <v>8</v>
      </c>
      <c r="D3" s="6">
        <v>8</v>
      </c>
      <c r="E3" s="6">
        <v>8</v>
      </c>
      <c r="F3" s="6">
        <v>8</v>
      </c>
      <c r="G3" s="6">
        <v>8</v>
      </c>
      <c r="H3" s="6">
        <v>8</v>
      </c>
    </row>
    <row r="4" spans="1:10" ht="16.5" thickBot="1" x14ac:dyDescent="0.3">
      <c r="A4" s="7" t="s">
        <v>53</v>
      </c>
      <c r="B4" s="8" t="s">
        <v>54</v>
      </c>
      <c r="C4" s="49" t="s">
        <v>55</v>
      </c>
      <c r="D4" s="16"/>
      <c r="E4" s="16"/>
      <c r="F4" s="16"/>
      <c r="G4" s="16"/>
      <c r="H4" s="17"/>
      <c r="J4" t="str">
        <f>"@ " &amp; B4 &amp; " " &amp; A4</f>
        <v xml:space="preserve">@ 01h  Write Status Register-1 </v>
      </c>
    </row>
    <row r="5" spans="1:10" ht="16.5" thickBot="1" x14ac:dyDescent="0.3">
      <c r="A5" s="7" t="s">
        <v>38</v>
      </c>
      <c r="B5" s="8" t="s">
        <v>39</v>
      </c>
      <c r="C5" s="49" t="s">
        <v>32</v>
      </c>
      <c r="D5" s="51" t="s">
        <v>33</v>
      </c>
      <c r="E5" s="51" t="s">
        <v>34</v>
      </c>
      <c r="F5" s="51" t="s">
        <v>40</v>
      </c>
      <c r="G5" s="51" t="s">
        <v>41</v>
      </c>
      <c r="H5" s="17"/>
      <c r="J5" t="str">
        <f t="shared" ref="J5:J35" si="0">"@ " &amp; B5 &amp; " " &amp; A5</f>
        <v xml:space="preserve">@ 02h  Page Program </v>
      </c>
    </row>
    <row r="6" spans="1:10" ht="16.5" thickBot="1" x14ac:dyDescent="0.3">
      <c r="A6" s="7" t="s">
        <v>30</v>
      </c>
      <c r="B6" s="8" t="s">
        <v>31</v>
      </c>
      <c r="C6" s="49" t="s">
        <v>32</v>
      </c>
      <c r="D6" s="51" t="s">
        <v>33</v>
      </c>
      <c r="E6" s="51" t="s">
        <v>34</v>
      </c>
      <c r="F6" s="51" t="s">
        <v>35</v>
      </c>
      <c r="G6" s="16"/>
      <c r="H6" s="17"/>
      <c r="J6" t="str">
        <f t="shared" si="0"/>
        <v xml:space="preserve">@ 03h  Read Data </v>
      </c>
    </row>
    <row r="7" spans="1:10" ht="16.5" thickBot="1" x14ac:dyDescent="0.3">
      <c r="A7" s="7" t="s">
        <v>13</v>
      </c>
      <c r="B7" s="8" t="s">
        <v>14</v>
      </c>
      <c r="C7" s="12"/>
      <c r="D7" s="12"/>
      <c r="E7" s="12"/>
      <c r="F7" s="12"/>
      <c r="G7" s="15"/>
      <c r="H7" s="17"/>
      <c r="J7" t="str">
        <f t="shared" si="0"/>
        <v xml:space="preserve">@ 04h  Write Disable </v>
      </c>
    </row>
    <row r="8" spans="1:10" ht="16.5" thickBot="1" x14ac:dyDescent="0.3">
      <c r="A8" s="7" t="s">
        <v>50</v>
      </c>
      <c r="B8" s="8" t="s">
        <v>51</v>
      </c>
      <c r="C8" s="9" t="s">
        <v>52</v>
      </c>
      <c r="D8" s="12"/>
      <c r="E8" s="12"/>
      <c r="F8" s="12"/>
      <c r="G8" s="12"/>
      <c r="H8" s="12"/>
      <c r="J8" t="str">
        <f t="shared" si="0"/>
        <v xml:space="preserve">@ 05h  Read Status Register-1 </v>
      </c>
    </row>
    <row r="9" spans="1:10" ht="16.5" thickBot="1" x14ac:dyDescent="0.3">
      <c r="A9" s="7" t="s">
        <v>9</v>
      </c>
      <c r="B9" s="8" t="s">
        <v>10</v>
      </c>
      <c r="C9" s="12"/>
      <c r="D9" s="12"/>
      <c r="E9" s="12"/>
      <c r="F9" s="15"/>
      <c r="G9" s="16"/>
      <c r="H9" s="17"/>
      <c r="J9" t="str">
        <f t="shared" si="0"/>
        <v xml:space="preserve">@ 06h  Write Enable </v>
      </c>
    </row>
    <row r="10" spans="1:10" ht="16.5" thickBot="1" x14ac:dyDescent="0.3">
      <c r="A10" s="7" t="s">
        <v>36</v>
      </c>
      <c r="B10" s="8" t="s">
        <v>37</v>
      </c>
      <c r="C10" s="9" t="s">
        <v>32</v>
      </c>
      <c r="D10" s="9" t="s">
        <v>33</v>
      </c>
      <c r="E10" s="9" t="s">
        <v>34</v>
      </c>
      <c r="F10" s="9" t="s">
        <v>17</v>
      </c>
      <c r="G10" s="9" t="s">
        <v>35</v>
      </c>
      <c r="H10" s="12"/>
      <c r="J10" t="str">
        <f t="shared" si="0"/>
        <v xml:space="preserve">@ 0Bh  Fast Read </v>
      </c>
    </row>
    <row r="11" spans="1:10" ht="16.5" thickBot="1" x14ac:dyDescent="0.3">
      <c r="A11" s="7" t="s">
        <v>65</v>
      </c>
      <c r="B11" s="8" t="s">
        <v>66</v>
      </c>
      <c r="C11" s="10" t="s">
        <v>67</v>
      </c>
      <c r="D11" s="12"/>
      <c r="E11" s="12"/>
      <c r="F11" s="12"/>
      <c r="G11" s="15"/>
      <c r="H11" s="17"/>
      <c r="J11" t="str">
        <f t="shared" si="0"/>
        <v xml:space="preserve">@ 11h  Write Status Register-3 </v>
      </c>
    </row>
    <row r="12" spans="1:10" ht="16.5" thickBot="1" x14ac:dyDescent="0.3">
      <c r="A12" s="7" t="s">
        <v>62</v>
      </c>
      <c r="B12" s="8" t="s">
        <v>63</v>
      </c>
      <c r="C12" s="10" t="s">
        <v>64</v>
      </c>
      <c r="D12" s="12"/>
      <c r="E12" s="12"/>
      <c r="F12" s="12"/>
      <c r="G12" s="12"/>
      <c r="H12" s="12"/>
      <c r="J12" t="str">
        <f t="shared" si="0"/>
        <v xml:space="preserve">@ 15h  Read Status Register-3 </v>
      </c>
    </row>
    <row r="13" spans="1:10" ht="16.5" thickBot="1" x14ac:dyDescent="0.3">
      <c r="A13" s="7" t="s">
        <v>42</v>
      </c>
      <c r="B13" s="8" t="s">
        <v>43</v>
      </c>
      <c r="C13" s="9" t="s">
        <v>32</v>
      </c>
      <c r="D13" s="9" t="s">
        <v>33</v>
      </c>
      <c r="E13" s="9" t="s">
        <v>34</v>
      </c>
      <c r="F13" s="12"/>
      <c r="G13" s="12"/>
      <c r="H13" s="12"/>
      <c r="J13" t="str">
        <f t="shared" si="0"/>
        <v xml:space="preserve">@ 20h  Sector Erase (4KB) </v>
      </c>
    </row>
    <row r="14" spans="1:10" ht="16.5" thickBot="1" x14ac:dyDescent="0.3">
      <c r="A14" s="7" t="s">
        <v>59</v>
      </c>
      <c r="B14" s="8" t="s">
        <v>60</v>
      </c>
      <c r="C14" s="9" t="s">
        <v>61</v>
      </c>
      <c r="D14" s="12"/>
      <c r="E14" s="12"/>
      <c r="F14" s="15"/>
      <c r="G14" s="16"/>
      <c r="H14" s="17"/>
      <c r="J14" t="str">
        <f t="shared" si="0"/>
        <v xml:space="preserve">@ 31h  Write Status Register-2 </v>
      </c>
    </row>
    <row r="15" spans="1:10" ht="16.5" thickBot="1" x14ac:dyDescent="0.3">
      <c r="A15" s="7" t="s">
        <v>56</v>
      </c>
      <c r="B15" s="8" t="s">
        <v>57</v>
      </c>
      <c r="C15" s="10" t="s">
        <v>58</v>
      </c>
      <c r="D15" s="12"/>
      <c r="E15" s="12"/>
      <c r="F15" s="15"/>
      <c r="G15" s="16"/>
      <c r="H15" s="17"/>
      <c r="J15" t="str">
        <f t="shared" si="0"/>
        <v xml:space="preserve">@ 35h  Read Status Register-2 </v>
      </c>
    </row>
    <row r="16" spans="1:10" ht="16.5" thickBot="1" x14ac:dyDescent="0.3">
      <c r="A16" s="7" t="s">
        <v>87</v>
      </c>
      <c r="B16" s="8" t="s">
        <v>88</v>
      </c>
      <c r="C16" s="12"/>
      <c r="D16" s="12"/>
      <c r="E16" s="12"/>
      <c r="F16" s="15"/>
      <c r="G16" s="16"/>
      <c r="H16" s="17"/>
      <c r="J16" t="str">
        <f t="shared" si="0"/>
        <v xml:space="preserve">@ 38h  Enter QPI Mode </v>
      </c>
    </row>
    <row r="17" spans="1:10" ht="16.5" thickBot="1" x14ac:dyDescent="0.3">
      <c r="A17" s="7" t="s">
        <v>74</v>
      </c>
      <c r="B17" s="8" t="s">
        <v>75</v>
      </c>
      <c r="C17" s="49" t="s">
        <v>32</v>
      </c>
      <c r="D17" s="51" t="s">
        <v>33</v>
      </c>
      <c r="E17" s="51" t="s">
        <v>34</v>
      </c>
      <c r="F17" s="51" t="s">
        <v>40</v>
      </c>
      <c r="G17" s="51" t="s">
        <v>41</v>
      </c>
      <c r="H17" s="17"/>
      <c r="J17" t="str">
        <f t="shared" si="0"/>
        <v xml:space="preserve">@ 42h  Program Security Register(4) </v>
      </c>
    </row>
    <row r="18" spans="1:10" ht="16.5" thickBot="1" x14ac:dyDescent="0.3">
      <c r="A18" s="7" t="s">
        <v>72</v>
      </c>
      <c r="B18" s="8" t="s">
        <v>73</v>
      </c>
      <c r="C18" s="49" t="s">
        <v>32</v>
      </c>
      <c r="D18" s="51" t="s">
        <v>33</v>
      </c>
      <c r="E18" s="51" t="s">
        <v>34</v>
      </c>
      <c r="F18" s="16"/>
      <c r="G18" s="16"/>
      <c r="H18" s="17"/>
      <c r="J18" t="str">
        <f t="shared" si="0"/>
        <v xml:space="preserve">@ 44h  Erase Security Register(4) </v>
      </c>
    </row>
    <row r="19" spans="1:10" ht="16.5" thickBot="1" x14ac:dyDescent="0.3">
      <c r="A19" s="7" t="s">
        <v>76</v>
      </c>
      <c r="B19" s="8" t="s">
        <v>77</v>
      </c>
      <c r="C19" s="9" t="s">
        <v>32</v>
      </c>
      <c r="D19" s="49" t="s">
        <v>33</v>
      </c>
      <c r="E19" s="51" t="s">
        <v>34</v>
      </c>
      <c r="F19" s="51" t="s">
        <v>17</v>
      </c>
      <c r="G19" s="51" t="s">
        <v>35</v>
      </c>
      <c r="H19" s="17"/>
      <c r="J19" t="str">
        <f t="shared" si="0"/>
        <v xml:space="preserve">@ 48h  Read Security Register((4) </v>
      </c>
    </row>
    <row r="20" spans="1:10" ht="16.5" thickBot="1" x14ac:dyDescent="0.3">
      <c r="A20" s="7" t="s">
        <v>27</v>
      </c>
      <c r="B20" s="8" t="s">
        <v>28</v>
      </c>
      <c r="C20" s="9" t="s">
        <v>17</v>
      </c>
      <c r="D20" s="49" t="s">
        <v>17</v>
      </c>
      <c r="E20" s="51" t="s">
        <v>17</v>
      </c>
      <c r="F20" s="51" t="s">
        <v>17</v>
      </c>
      <c r="G20" s="51" t="s">
        <v>29</v>
      </c>
      <c r="H20" s="17"/>
      <c r="J20" t="str">
        <f t="shared" si="0"/>
        <v xml:space="preserve">@ 4Bh  Read Unique ID </v>
      </c>
    </row>
    <row r="21" spans="1:10" ht="16.5" thickBot="1" x14ac:dyDescent="0.3">
      <c r="A21" s="7" t="s">
        <v>11</v>
      </c>
      <c r="B21" s="8" t="s">
        <v>12</v>
      </c>
      <c r="C21" s="12"/>
      <c r="D21" s="15"/>
      <c r="E21" s="16"/>
      <c r="F21" s="16"/>
      <c r="G21" s="16"/>
      <c r="H21" s="17"/>
      <c r="J21" t="str">
        <f t="shared" si="0"/>
        <v xml:space="preserve">@ 50h  Volatile SR Write Enable </v>
      </c>
    </row>
    <row r="22" spans="1:10" ht="16.5" thickBot="1" x14ac:dyDescent="0.3">
      <c r="A22" s="7" t="s">
        <v>44</v>
      </c>
      <c r="B22" s="8" t="s">
        <v>45</v>
      </c>
      <c r="C22" s="9" t="s">
        <v>32</v>
      </c>
      <c r="D22" s="49" t="s">
        <v>33</v>
      </c>
      <c r="E22" s="51" t="s">
        <v>34</v>
      </c>
      <c r="F22" s="16"/>
      <c r="G22" s="16"/>
      <c r="H22" s="17"/>
      <c r="J22" t="str">
        <f t="shared" si="0"/>
        <v xml:space="preserve">@ 52h  Block Erase (32KB) </v>
      </c>
    </row>
    <row r="23" spans="1:10" ht="16.5" thickBot="1" x14ac:dyDescent="0.3">
      <c r="A23" s="7" t="s">
        <v>68</v>
      </c>
      <c r="B23" s="8" t="s">
        <v>69</v>
      </c>
      <c r="C23" s="9" t="s">
        <v>32</v>
      </c>
      <c r="D23" s="49" t="s">
        <v>33</v>
      </c>
      <c r="E23" s="51" t="s">
        <v>34</v>
      </c>
      <c r="F23" s="51" t="s">
        <v>70</v>
      </c>
      <c r="G23" s="53" t="s">
        <v>71</v>
      </c>
      <c r="H23" s="17"/>
      <c r="J23" t="str">
        <f t="shared" si="0"/>
        <v xml:space="preserve">@ 5Ah  Read SFDP Register </v>
      </c>
    </row>
    <row r="24" spans="1:10" ht="16.5" thickBot="1" x14ac:dyDescent="0.3">
      <c r="A24" s="7" t="s">
        <v>48</v>
      </c>
      <c r="B24" s="8" t="s">
        <v>216</v>
      </c>
      <c r="C24" s="12"/>
      <c r="D24" s="15"/>
      <c r="E24" s="16"/>
      <c r="F24" s="16"/>
      <c r="G24" s="16"/>
      <c r="H24" s="17"/>
      <c r="J24" t="str">
        <f t="shared" si="0"/>
        <v xml:space="preserve">@ 60h Chip Erase </v>
      </c>
    </row>
    <row r="25" spans="1:10" ht="16.5" thickBot="1" x14ac:dyDescent="0.3">
      <c r="A25" s="7" t="s">
        <v>89</v>
      </c>
      <c r="B25" s="8" t="s">
        <v>90</v>
      </c>
      <c r="C25" s="12"/>
      <c r="D25" s="12"/>
      <c r="E25" s="12"/>
      <c r="F25" s="12"/>
      <c r="G25" s="12"/>
      <c r="H25" s="12"/>
      <c r="J25" t="str">
        <f t="shared" si="0"/>
        <v xml:space="preserve">@ 66h  Enable Reset </v>
      </c>
    </row>
    <row r="26" spans="1:10" ht="16.5" thickBot="1" x14ac:dyDescent="0.3">
      <c r="A26" s="7" t="s">
        <v>78</v>
      </c>
      <c r="B26" s="8" t="s">
        <v>79</v>
      </c>
      <c r="C26" s="12"/>
      <c r="D26" s="12"/>
      <c r="E26" s="12"/>
      <c r="F26" s="15"/>
      <c r="G26" s="16"/>
      <c r="H26" s="17"/>
      <c r="J26" t="str">
        <f t="shared" si="0"/>
        <v xml:space="preserve">@ 75h  Erase / Program Suspend </v>
      </c>
    </row>
    <row r="27" spans="1:10" ht="16.5" thickBot="1" x14ac:dyDescent="0.3">
      <c r="A27" s="7" t="s">
        <v>80</v>
      </c>
      <c r="B27" s="8" t="s">
        <v>81</v>
      </c>
      <c r="C27" s="12"/>
      <c r="D27" s="12"/>
      <c r="E27" s="12"/>
      <c r="F27" s="12"/>
      <c r="G27" s="12"/>
      <c r="H27" s="12"/>
      <c r="J27" t="str">
        <f t="shared" si="0"/>
        <v xml:space="preserve">@ 7Ah  Erase / Program Resume </v>
      </c>
    </row>
    <row r="28" spans="1:10" ht="16.5" thickBot="1" x14ac:dyDescent="0.3">
      <c r="A28" s="7" t="s">
        <v>19</v>
      </c>
      <c r="B28" s="8" t="s">
        <v>20</v>
      </c>
      <c r="C28" s="9" t="s">
        <v>17</v>
      </c>
      <c r="D28" s="9" t="s">
        <v>17</v>
      </c>
      <c r="E28" s="11" t="s">
        <v>21</v>
      </c>
      <c r="F28" s="10" t="s">
        <v>22</v>
      </c>
      <c r="G28" s="9" t="s">
        <v>23</v>
      </c>
      <c r="H28" s="12"/>
      <c r="J28" t="str">
        <f t="shared" si="0"/>
        <v xml:space="preserve">@ 90h  Manufacturer/Device ID </v>
      </c>
    </row>
    <row r="29" spans="1:10" ht="16.5" thickBot="1" x14ac:dyDescent="0.3">
      <c r="A29" s="7" t="s">
        <v>91</v>
      </c>
      <c r="B29" s="8" t="s">
        <v>92</v>
      </c>
      <c r="C29" s="15"/>
      <c r="D29" s="16"/>
      <c r="E29" s="16"/>
      <c r="F29" s="16"/>
      <c r="G29" s="16"/>
      <c r="H29" s="17"/>
      <c r="J29" t="str">
        <f t="shared" si="0"/>
        <v xml:space="preserve">@ 99h  Reset Device </v>
      </c>
    </row>
    <row r="30" spans="1:10" ht="16.5" thickBot="1" x14ac:dyDescent="0.3">
      <c r="A30" s="7" t="s">
        <v>24</v>
      </c>
      <c r="B30" s="8" t="s">
        <v>25</v>
      </c>
      <c r="C30" s="50" t="s">
        <v>22</v>
      </c>
      <c r="D30" s="52" t="s">
        <v>26</v>
      </c>
      <c r="E30" s="51" t="s">
        <v>23</v>
      </c>
      <c r="F30" s="16"/>
      <c r="G30" s="16"/>
      <c r="H30" s="17"/>
      <c r="J30" t="str">
        <f t="shared" si="0"/>
        <v xml:space="preserve">@ 9Fh  JEDEC ID </v>
      </c>
    </row>
    <row r="31" spans="1:10" ht="16.5" thickBot="1" x14ac:dyDescent="0.3">
      <c r="A31" s="7" t="s">
        <v>15</v>
      </c>
      <c r="B31" s="8" t="s">
        <v>16</v>
      </c>
      <c r="C31" s="49" t="s">
        <v>17</v>
      </c>
      <c r="D31" s="51" t="s">
        <v>17</v>
      </c>
      <c r="E31" s="51" t="s">
        <v>17</v>
      </c>
      <c r="F31" s="52" t="s">
        <v>18</v>
      </c>
      <c r="G31" s="16"/>
      <c r="H31" s="17"/>
      <c r="J31" t="str">
        <f t="shared" si="0"/>
        <v xml:space="preserve">@ ABh  Release Power-down / ID </v>
      </c>
    </row>
    <row r="32" spans="1:10" ht="16.5" thickBot="1" x14ac:dyDescent="0.3">
      <c r="A32" s="7" t="s">
        <v>82</v>
      </c>
      <c r="B32" s="8" t="s">
        <v>83</v>
      </c>
      <c r="C32" s="12"/>
      <c r="D32" s="15"/>
      <c r="E32" s="16"/>
      <c r="F32" s="16"/>
      <c r="G32" s="16"/>
      <c r="H32" s="17"/>
      <c r="J32" t="str">
        <f t="shared" si="0"/>
        <v xml:space="preserve">@ B9h  Power-down </v>
      </c>
    </row>
    <row r="33" spans="1:10" ht="16.5" thickBot="1" x14ac:dyDescent="0.3">
      <c r="A33" s="7" t="s">
        <v>84</v>
      </c>
      <c r="B33" s="8" t="s">
        <v>85</v>
      </c>
      <c r="C33" s="49" t="s">
        <v>86</v>
      </c>
      <c r="D33" s="16"/>
      <c r="E33" s="16"/>
      <c r="F33" s="16"/>
      <c r="G33" s="16"/>
      <c r="H33" s="17"/>
      <c r="J33" t="str">
        <f t="shared" si="0"/>
        <v xml:space="preserve">@ C0h  Set Read Parameters </v>
      </c>
    </row>
    <row r="34" spans="1:10" ht="16.5" thickBot="1" x14ac:dyDescent="0.3">
      <c r="A34" s="7" t="s">
        <v>48</v>
      </c>
      <c r="B34" s="8" t="s">
        <v>215</v>
      </c>
      <c r="C34" s="15"/>
      <c r="D34" s="16"/>
      <c r="E34" s="16"/>
      <c r="F34" s="16"/>
      <c r="G34" s="16"/>
      <c r="H34" s="17"/>
      <c r="J34" t="str">
        <f t="shared" si="0"/>
        <v xml:space="preserve">@ C7h Chip Erase </v>
      </c>
    </row>
    <row r="35" spans="1:10" ht="16.5" thickBot="1" x14ac:dyDescent="0.3">
      <c r="A35" s="7" t="s">
        <v>46</v>
      </c>
      <c r="B35" s="8" t="s">
        <v>217</v>
      </c>
      <c r="C35" s="49" t="s">
        <v>32</v>
      </c>
      <c r="D35" s="51" t="s">
        <v>33</v>
      </c>
      <c r="E35" s="51" t="s">
        <v>34</v>
      </c>
      <c r="F35" s="16"/>
      <c r="G35" s="16"/>
      <c r="H35" s="17"/>
      <c r="J35" t="str">
        <f t="shared" si="0"/>
        <v xml:space="preserve">@ D8h Block Erase (64KB) </v>
      </c>
    </row>
  </sheetData>
  <sortState xmlns:xlrd2="http://schemas.microsoft.com/office/spreadsheetml/2017/richdata2" ref="A4:H35">
    <sortCondition ref="B4:B35"/>
  </sortState>
  <pageMargins left="0.7" right="0.7" top="0.78740157499999996" bottom="0.78740157499999996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CommandOverview</vt:lpstr>
      <vt:lpstr>SPI-Instructions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Jonethal</dc:creator>
  <cp:lastModifiedBy>Jean Jonethal</cp:lastModifiedBy>
  <dcterms:created xsi:type="dcterms:W3CDTF">2026-02-14T13:33:24Z</dcterms:created>
  <dcterms:modified xsi:type="dcterms:W3CDTF">2026-02-15T23:23:40Z</dcterms:modified>
</cp:coreProperties>
</file>